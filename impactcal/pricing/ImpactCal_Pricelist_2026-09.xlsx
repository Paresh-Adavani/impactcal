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hock absorbers" sheetId="3" state="visible" r:id="rId3"/>
    <sheet xmlns:r="http://schemas.openxmlformats.org/officeDocument/2006/relationships" name="Wire rope isolators" sheetId="4" state="visible" r:id="rId4"/>
    <sheet xmlns:r="http://schemas.openxmlformats.org/officeDocument/2006/relationships" name="Accessories" sheetId="5" state="visible" r:id="rId5"/>
    <sheet xmlns:r="http://schemas.openxmlformats.org/officeDocument/2006/relationships" name="Other products" sheetId="6" state="visible" r:id="rId6"/>
    <sheet xmlns:r="http://schemas.openxmlformats.org/officeDocument/2006/relationships" name="Rubber mounts" sheetId="7" state="visible" r:id="rId7"/>
  </sheets>
  <definedNames>
    <definedName name="_xlnm._FilterDatabase" localSheetId="2" hidden="1">'Shock absorbers'!$A$1:$M$312</definedName>
    <definedName name="_xlnm._FilterDatabase" localSheetId="3" hidden="1">'Wire rope isolators'!$A$1:$M$115</definedName>
    <definedName name="_xlnm._FilterDatabase" localSheetId="4" hidden="1">'Accessories'!$A$1:$M$18</definedName>
    <definedName name="_xlnm._FilterDatabase" localSheetId="5" hidden="1">'Other products'!$A$1:$M$15</definedName>
    <definedName name="_xlnm._FilterDatabase" localSheetId="6" hidden="1">'Rubber mounts'!$A$1:$V$104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160"/>
      <sz val="14"/>
    </font>
    <font>
      <b val="1"/>
      <color rgb="001B316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3160"/>
      </patternFill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8" customWidth="1" min="1" max="1"/>
    <col width="90" customWidth="1" min="2" max="2"/>
    <col width="8" customWidth="1" min="3" max="3"/>
  </cols>
  <sheetData>
    <row r="1">
      <c r="A1" s="1" t="inlineStr">
        <is>
          <t>ADONI TECH — ImpactCal global price list &amp; costing</t>
        </is>
      </c>
    </row>
    <row r="2">
      <c r="A2" t="inlineStr">
        <is>
          <t>Prepared</t>
        </is>
      </c>
      <c r="B2" t="inlineStr">
        <is>
          <t>2026-09-24</t>
        </is>
      </c>
    </row>
    <row r="3"/>
    <row r="4">
      <c r="A4" s="2" t="inlineStr">
        <is>
          <t>PRICING POLICY (agreed 23-24 Sep 2026)</t>
        </is>
      </c>
    </row>
    <row r="5">
      <c r="A5" t="inlineStr">
        <is>
          <t>File prices</t>
        </is>
      </c>
      <c r="B5" t="inlineStr">
        <is>
          <t>Highest price found in any of the 8 uploaded price lists is taken as-is (list price).</t>
        </is>
      </c>
    </row>
    <row r="6">
      <c r="A6" t="inlineStr">
        <is>
          <t>Estimated prices</t>
        </is>
      </c>
      <c r="B6" t="inlineStr">
        <is>
          <t>Cost model per series (price ~ k · Fs^a · stroke^b fitted on your own prices; median error 6 % crane, 9 % industrial) + negotiation margin below</t>
        </is>
      </c>
    </row>
    <row r="7">
      <c r="A7" t="inlineStr">
        <is>
          <t>Rubber mounts</t>
        </is>
      </c>
      <c r="B7" t="inlineStr">
        <is>
          <t>Moulding cost + hardware + mould cost amortised, + margin over cost (parameters below; Rubber mounts sheet recalculates live)</t>
        </is>
      </c>
    </row>
    <row r="8">
      <c r="A8" t="inlineStr">
        <is>
          <t>Rounding</t>
        </is>
      </c>
      <c r="B8" t="inlineStr">
        <is>
          <t>nearest ₹50 below ₹10,000, nearest ₹100 above (always up)</t>
        </is>
      </c>
    </row>
    <row r="9">
      <c r="A9" t="inlineStr">
        <is>
          <t>USD</t>
        </is>
      </c>
      <c r="B9" t="inlineStr">
        <is>
          <t>list ÷ live INR/USD rate × (1 + export uplift); recomputed at quotation time; column here is indicative</t>
        </is>
      </c>
    </row>
    <row r="10"/>
    <row r="11">
      <c r="A11" s="2" t="inlineStr">
        <is>
          <t>PARAMETERS (yellow cells are yours to change)</t>
        </is>
      </c>
      <c r="B11" t="inlineStr">
        <is>
          <t>Value</t>
        </is>
      </c>
      <c r="C11" t="inlineStr">
        <is>
          <t>Unit</t>
        </is>
      </c>
    </row>
    <row r="12">
      <c r="A12" t="inlineStr">
        <is>
          <t>Negotiation / dealer margin on estimated prices</t>
        </is>
      </c>
      <c r="B12" s="3" t="n">
        <v>25</v>
      </c>
      <c r="C12" t="inlineStr">
        <is>
          <t>%</t>
        </is>
      </c>
    </row>
    <row r="13">
      <c r="A13" t="inlineStr">
        <is>
          <t>Dealer price = list × (1 − discount)</t>
        </is>
      </c>
      <c r="B13" s="3" t="n">
        <v>20</v>
      </c>
      <c r="C13" t="inlineStr">
        <is>
          <t>%</t>
        </is>
      </c>
    </row>
    <row r="14">
      <c r="A14" t="inlineStr">
        <is>
          <t>INR per USD (indicative)</t>
        </is>
      </c>
      <c r="B14" s="3" t="n">
        <v>95.87</v>
      </c>
      <c r="C14" t="inlineStr">
        <is>
          <t>INR</t>
        </is>
      </c>
    </row>
    <row r="15">
      <c r="A15" t="inlineStr">
        <is>
          <t>Export uplift</t>
        </is>
      </c>
      <c r="B15" s="3" t="n">
        <v>12</v>
      </c>
      <c r="C15" t="inlineStr">
        <is>
          <t>%</t>
        </is>
      </c>
    </row>
    <row r="16">
      <c r="A16" t="inlineStr">
        <is>
          <t>Rubber compound</t>
        </is>
      </c>
      <c r="B16" s="3" t="n">
        <v>420</v>
      </c>
      <c r="C16" t="inlineStr">
        <is>
          <t>₹/kg</t>
        </is>
      </c>
    </row>
    <row r="17">
      <c r="A17" t="inlineStr">
        <is>
          <t>Rubber density</t>
        </is>
      </c>
      <c r="B17" s="3" t="n">
        <v>1.15</v>
      </c>
      <c r="C17" t="inlineStr">
        <is>
          <t>g/cm³</t>
        </is>
      </c>
    </row>
    <row r="18">
      <c r="A18" t="inlineStr">
        <is>
          <t>Moulding cost per shot</t>
        </is>
      </c>
      <c r="B18" s="3" t="n">
        <v>180</v>
      </c>
      <c r="C18" t="inlineStr">
        <is>
          <t>₹</t>
        </is>
      </c>
    </row>
    <row r="19">
      <c r="A19" t="inlineStr">
        <is>
          <t>Moulding cost per kg rubber</t>
        </is>
      </c>
      <c r="B19" s="3" t="n">
        <v>260</v>
      </c>
      <c r="C19" t="inlineStr">
        <is>
          <t>₹/kg</t>
        </is>
      </c>
    </row>
    <row r="20">
      <c r="A20" t="inlineStr">
        <is>
          <t>Metal parts material</t>
        </is>
      </c>
      <c r="B20" s="3" t="n">
        <v>95</v>
      </c>
      <c r="C20" t="inlineStr">
        <is>
          <t>₹/kg</t>
        </is>
      </c>
    </row>
    <row r="21">
      <c r="A21" t="inlineStr">
        <is>
          <t>Metal parts machining / plating</t>
        </is>
      </c>
      <c r="B21" s="3" t="n">
        <v>140</v>
      </c>
      <c r="C21" t="inlineStr">
        <is>
          <t>₹/kg</t>
        </is>
      </c>
    </row>
    <row r="22">
      <c r="A22" t="inlineStr">
        <is>
          <t>Minimum hardware per piece</t>
        </is>
      </c>
      <c r="B22" s="3" t="n">
        <v>35</v>
      </c>
      <c r="C22" t="inlineStr">
        <is>
          <t>₹</t>
        </is>
      </c>
    </row>
    <row r="23">
      <c r="A23" t="inlineStr">
        <is>
          <t>Mould cost — small (Ø ≤ 80)</t>
        </is>
      </c>
      <c r="B23" s="3" t="n">
        <v>28000</v>
      </c>
      <c r="C23" t="inlineStr">
        <is>
          <t>₹</t>
        </is>
      </c>
    </row>
    <row r="24">
      <c r="A24" t="inlineStr">
        <is>
          <t>Mould cost — medium (Ø ≤ 160)</t>
        </is>
      </c>
      <c r="B24" s="3" t="n">
        <v>45000</v>
      </c>
      <c r="C24" t="inlineStr">
        <is>
          <t>₹</t>
        </is>
      </c>
    </row>
    <row r="25">
      <c r="A25" t="inlineStr">
        <is>
          <t>Mould cost — large</t>
        </is>
      </c>
      <c r="B25" s="3" t="n">
        <v>80000</v>
      </c>
      <c r="C25" t="inlineStr">
        <is>
          <t>₹</t>
        </is>
      </c>
    </row>
    <row r="26">
      <c r="A26" t="inlineStr">
        <is>
          <t>Cavities per mould — small / medium / large</t>
        </is>
      </c>
      <c r="B26" s="3" t="inlineStr">
        <is>
          <t>8 / 4 / 1</t>
        </is>
      </c>
    </row>
    <row r="27">
      <c r="A27" t="inlineStr">
        <is>
          <t>Mould amortised over</t>
        </is>
      </c>
      <c r="B27" s="3" t="n">
        <v>50</v>
      </c>
      <c r="C27" t="inlineStr">
        <is>
          <t>pcs</t>
        </is>
      </c>
    </row>
    <row r="28">
      <c r="A28" t="inlineStr">
        <is>
          <t>Margin over cost (rubber mounts)</t>
        </is>
      </c>
      <c r="B28" s="3" t="n">
        <v>50</v>
      </c>
      <c r="C2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Table</t>
        </is>
      </c>
      <c r="B1" s="4" t="inlineStr">
        <is>
          <t>Rows</t>
        </is>
      </c>
      <c r="C1" s="4" t="inlineStr">
        <is>
          <t>From price lists</t>
        </is>
      </c>
      <c r="D1" s="4" t="inlineStr">
        <is>
          <t>Estimated (model)</t>
        </is>
      </c>
      <c r="E1" s="4" t="inlineStr">
        <is>
          <t>Costed (rubber)</t>
        </is>
      </c>
      <c r="F1" s="4" t="inlineStr">
        <is>
          <t>Min list ₹</t>
        </is>
      </c>
      <c r="G1" s="4" t="inlineStr">
        <is>
          <t>Max list ₹</t>
        </is>
      </c>
    </row>
    <row r="2">
      <c r="A2" t="inlineStr">
        <is>
          <t>accessories</t>
        </is>
      </c>
      <c r="B2" t="n">
        <v>17</v>
      </c>
      <c r="C2" t="n">
        <v>0</v>
      </c>
      <c r="D2" t="n">
        <v>14</v>
      </c>
      <c r="E2" t="n">
        <v>0</v>
      </c>
      <c r="F2" t="n">
        <v>0</v>
      </c>
      <c r="G2" t="n">
        <v>8150</v>
      </c>
    </row>
    <row r="3">
      <c r="A3" t="inlineStr">
        <is>
          <t>other_products</t>
        </is>
      </c>
      <c r="B3" t="n">
        <v>14</v>
      </c>
      <c r="C3" t="n">
        <v>14</v>
      </c>
      <c r="D3" t="n">
        <v>0</v>
      </c>
      <c r="E3" t="n">
        <v>0</v>
      </c>
      <c r="F3" t="n">
        <v>450</v>
      </c>
      <c r="G3" t="n">
        <v>69400</v>
      </c>
    </row>
    <row r="4">
      <c r="A4" t="inlineStr">
        <is>
          <t>rubber_mounts</t>
        </is>
      </c>
      <c r="B4" t="n">
        <v>103</v>
      </c>
      <c r="C4" t="n">
        <v>1</v>
      </c>
      <c r="D4" t="n">
        <v>5</v>
      </c>
      <c r="E4" t="n">
        <v>97</v>
      </c>
      <c r="F4" t="n">
        <v>500</v>
      </c>
      <c r="G4" t="n">
        <v>70600</v>
      </c>
    </row>
    <row r="5">
      <c r="A5" t="inlineStr">
        <is>
          <t>shock_absorbers</t>
        </is>
      </c>
      <c r="B5" t="n">
        <v>311</v>
      </c>
      <c r="C5" t="n">
        <v>148</v>
      </c>
      <c r="D5" t="n">
        <v>163</v>
      </c>
      <c r="E5" t="n">
        <v>0</v>
      </c>
      <c r="F5" t="n">
        <v>750</v>
      </c>
      <c r="G5" t="n">
        <v>141100</v>
      </c>
    </row>
    <row r="6">
      <c r="A6" t="inlineStr">
        <is>
          <t>wire_rope_isolators</t>
        </is>
      </c>
      <c r="B6" t="n">
        <v>114</v>
      </c>
      <c r="C6" t="n">
        <v>114</v>
      </c>
      <c r="D6" t="n">
        <v>0</v>
      </c>
      <c r="E6" t="n">
        <v>0</v>
      </c>
      <c r="F6" t="n">
        <v>1150</v>
      </c>
      <c r="G6" t="n">
        <v>58000</v>
      </c>
    </row>
    <row r="8">
      <c r="A8" t="inlineStr">
        <is>
          <t>Legend</t>
        </is>
      </c>
      <c r="B8" t="inlineStr">
        <is>
          <t>yellow = your input (list price / geometry)</t>
        </is>
      </c>
      <c r="C8" t="inlineStr">
        <is>
          <t>blue = estimated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8" customWidth="1" min="4" max="4"/>
    <col width="11" customWidth="1" min="5" max="5"/>
    <col width="26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8" customWidth="1" min="12" max="12"/>
    <col width="60" customWidth="1" min="13" max="13"/>
  </cols>
  <sheetData>
    <row r="1">
      <c r="A1" s="5" t="inlineStr">
        <is>
          <t>key</t>
        </is>
      </c>
      <c r="B1" s="5" t="inlineStr">
        <is>
          <t>model</t>
        </is>
      </c>
      <c r="C1" s="5" t="inlineStr">
        <is>
          <t>series</t>
        </is>
      </c>
      <c r="D1" s="5" t="inlineStr">
        <is>
          <t>basis</t>
        </is>
      </c>
      <c r="E1" s="5" t="inlineStr">
        <is>
          <t>file_price</t>
        </is>
      </c>
      <c r="F1" s="5" t="inlineStr">
        <is>
          <t>file_source</t>
        </is>
      </c>
      <c r="G1" s="5" t="inlineStr">
        <is>
          <t>estimate</t>
        </is>
      </c>
      <c r="H1" s="5" t="inlineStr">
        <is>
          <t>margin_pct</t>
        </is>
      </c>
      <c r="I1" s="5" t="inlineStr">
        <is>
          <t>list_inr</t>
        </is>
      </c>
      <c r="J1" s="5" t="inlineStr">
        <is>
          <t>dealer_inr</t>
        </is>
      </c>
      <c r="K1" s="5" t="inlineStr">
        <is>
          <t>usd_indicative</t>
        </is>
      </c>
      <c r="L1" s="5" t="inlineStr">
        <is>
          <t>lead_time_days</t>
        </is>
      </c>
      <c r="M1" s="5" t="inlineStr">
        <is>
          <t>note</t>
        </is>
      </c>
    </row>
    <row r="2">
      <c r="A2" t="inlineStr">
        <is>
          <t>AC86</t>
        </is>
      </c>
      <c r="B2" t="inlineStr">
        <is>
          <t>AC-8-6</t>
        </is>
      </c>
      <c r="C2" t="inlineStr">
        <is>
          <t>AC</t>
        </is>
      </c>
      <c r="D2" t="inlineStr">
        <is>
          <t>file</t>
        </is>
      </c>
      <c r="E2" t="n">
        <v>1680</v>
      </c>
      <c r="F2" t="inlineStr">
        <is>
          <t>product_list:market</t>
        </is>
      </c>
      <c r="G2" t="n">
        <v>1680</v>
      </c>
      <c r="H2" t="n">
        <v>0</v>
      </c>
      <c r="I2" s="3" t="n">
        <v>1700</v>
      </c>
      <c r="J2">
        <f>IF(I2&gt;0,CEILING(I2*(1-Policy!$B$13/100),IF(I2&lt;10000,50,100)),"")</f>
        <v/>
      </c>
      <c r="K2">
        <f>IF(I2&gt;0,ROUNDUP(I2/Policy!$B$14*(1+Policy!$B$15/100),0),"")</f>
        <v/>
      </c>
      <c r="L2" t="n">
        <v>21</v>
      </c>
      <c r="M2" t="inlineStr">
        <is>
          <t>stroke 6 mm, Fs 417 N</t>
        </is>
      </c>
    </row>
    <row r="3">
      <c r="A3" t="inlineStr">
        <is>
          <t>AC105</t>
        </is>
      </c>
      <c r="B3" t="inlineStr">
        <is>
          <t>AC-10-5</t>
        </is>
      </c>
      <c r="C3" t="inlineStr">
        <is>
          <t>AC</t>
        </is>
      </c>
      <c r="D3" t="inlineStr">
        <is>
          <t>file</t>
        </is>
      </c>
      <c r="E3" t="n">
        <v>1440</v>
      </c>
      <c r="F3" t="inlineStr">
        <is>
          <t>product_list:b2b</t>
        </is>
      </c>
      <c r="G3" t="n">
        <v>1441</v>
      </c>
      <c r="H3" t="n">
        <v>0</v>
      </c>
      <c r="I3" s="3" t="n">
        <v>1450</v>
      </c>
      <c r="J3">
        <f>IF(I3&gt;0,CEILING(I3*(1-Policy!$B$13/100),IF(I3&lt;10000,50,100)),"")</f>
        <v/>
      </c>
      <c r="K3">
        <f>IF(I3&gt;0,ROUNDUP(I3/Policy!$B$14*(1+Policy!$B$15/100),0),"")</f>
        <v/>
      </c>
      <c r="L3" t="n">
        <v>21</v>
      </c>
      <c r="M3" t="inlineStr">
        <is>
          <t>stroke 5 mm, Fs 750 N</t>
        </is>
      </c>
    </row>
    <row r="4">
      <c r="A4" t="inlineStr">
        <is>
          <t>AC108</t>
        </is>
      </c>
      <c r="B4" t="inlineStr">
        <is>
          <t>AC-10-8</t>
        </is>
      </c>
      <c r="C4" t="inlineStr">
        <is>
          <t>AC</t>
        </is>
      </c>
      <c r="D4" t="inlineStr">
        <is>
          <t>file</t>
        </is>
      </c>
      <c r="E4" t="n">
        <v>1500</v>
      </c>
      <c r="F4" t="inlineStr">
        <is>
          <t>product_list:market</t>
        </is>
      </c>
      <c r="G4" t="n">
        <v>1499</v>
      </c>
      <c r="H4" t="n">
        <v>0</v>
      </c>
      <c r="I4" s="3" t="n">
        <v>1500</v>
      </c>
      <c r="J4">
        <f>IF(I4&gt;0,CEILING(I4*(1-Policy!$B$13/100),IF(I4&lt;10000,50,100)),"")</f>
        <v/>
      </c>
      <c r="K4">
        <f>IF(I4&gt;0,ROUNDUP(I4/Policy!$B$14*(1+Policy!$B$15/100),0),"")</f>
        <v/>
      </c>
      <c r="L4" t="n">
        <v>21</v>
      </c>
      <c r="M4" t="inlineStr">
        <is>
          <t>stroke 8 mm, Fs 625 N</t>
        </is>
      </c>
    </row>
    <row r="5">
      <c r="A5" t="inlineStr">
        <is>
          <t>AC1210</t>
        </is>
      </c>
      <c r="B5" t="inlineStr">
        <is>
          <t>AC-12-10</t>
        </is>
      </c>
      <c r="C5" t="inlineStr">
        <is>
          <t>AC</t>
        </is>
      </c>
      <c r="D5" t="inlineStr">
        <is>
          <t>file</t>
        </is>
      </c>
      <c r="E5" t="n">
        <v>1320</v>
      </c>
      <c r="F5" t="inlineStr">
        <is>
          <t>product_list:b2b</t>
        </is>
      </c>
      <c r="G5" t="n">
        <v>1320</v>
      </c>
      <c r="H5" t="n">
        <v>0</v>
      </c>
      <c r="I5" s="3" t="n">
        <v>1350</v>
      </c>
      <c r="J5">
        <f>IF(I5&gt;0,CEILING(I5*(1-Policy!$B$13/100),IF(I5&lt;10000,50,100)),"")</f>
        <v/>
      </c>
      <c r="K5">
        <f>IF(I5&gt;0,ROUNDUP(I5/Policy!$B$14*(1+Policy!$B$15/100),0),"")</f>
        <v/>
      </c>
      <c r="L5" t="n">
        <v>21</v>
      </c>
      <c r="M5" t="inlineStr">
        <is>
          <t>stroke 10 mm, Fs 625 N</t>
        </is>
      </c>
    </row>
    <row r="6">
      <c r="A6" t="inlineStr">
        <is>
          <t>AC1410</t>
        </is>
      </c>
      <c r="B6" t="inlineStr">
        <is>
          <t>AC-14-10</t>
        </is>
      </c>
      <c r="C6" t="inlineStr">
        <is>
          <t>AC</t>
        </is>
      </c>
      <c r="D6" t="inlineStr">
        <is>
          <t>file</t>
        </is>
      </c>
      <c r="E6" t="n">
        <v>1100</v>
      </c>
      <c r="F6" t="inlineStr">
        <is>
          <t>price list 2019 (Price List India 2022-23.pdf)</t>
        </is>
      </c>
      <c r="G6" t="n">
        <v>893</v>
      </c>
      <c r="H6" t="n">
        <v>0</v>
      </c>
      <c r="I6" s="3" t="n">
        <v>1100</v>
      </c>
      <c r="J6">
        <f>IF(I6&gt;0,CEILING(I6*(1-Policy!$B$13/100),IF(I6&lt;10000,50,100)),"")</f>
        <v/>
      </c>
      <c r="K6">
        <f>IF(I6&gt;0,ROUNDUP(I6/Policy!$B$14*(1+Policy!$B$15/100),0),"")</f>
        <v/>
      </c>
      <c r="L6" t="n">
        <v>21</v>
      </c>
      <c r="M6" t="inlineStr">
        <is>
          <t>stroke 10 mm, Fs 625 N</t>
        </is>
      </c>
    </row>
    <row r="7">
      <c r="A7" t="inlineStr">
        <is>
          <t>AC1412</t>
        </is>
      </c>
      <c r="B7" t="inlineStr">
        <is>
          <t>AC-14-12</t>
        </is>
      </c>
      <c r="C7" t="inlineStr">
        <is>
          <t>AC</t>
        </is>
      </c>
      <c r="D7" t="inlineStr">
        <is>
          <t>file</t>
        </is>
      </c>
      <c r="E7" t="n">
        <v>1320</v>
      </c>
      <c r="F7" t="inlineStr">
        <is>
          <t>product_list:b2b</t>
        </is>
      </c>
      <c r="G7" t="n">
        <v>1463</v>
      </c>
      <c r="H7" t="n">
        <v>0</v>
      </c>
      <c r="I7" s="3" t="n">
        <v>1350</v>
      </c>
      <c r="J7">
        <f>IF(I7&gt;0,CEILING(I7*(1-Policy!$B$13/100),IF(I7&lt;10000,50,100)),"")</f>
        <v/>
      </c>
      <c r="K7">
        <f>IF(I7&gt;0,ROUNDUP(I7/Policy!$B$14*(1+Policy!$B$15/100),0),"")</f>
        <v/>
      </c>
      <c r="L7" t="n">
        <v>21</v>
      </c>
      <c r="M7" t="inlineStr">
        <is>
          <t>stroke 12 mm, Fs 1562 N</t>
        </is>
      </c>
    </row>
    <row r="8">
      <c r="A8" t="inlineStr">
        <is>
          <t>AC1613</t>
        </is>
      </c>
      <c r="B8" t="inlineStr">
        <is>
          <t>AC-16-13</t>
        </is>
      </c>
      <c r="C8" t="inlineStr">
        <is>
          <t>AC</t>
        </is>
      </c>
      <c r="D8" t="inlineStr">
        <is>
          <t>file</t>
        </is>
      </c>
      <c r="E8" t="n">
        <v>1800</v>
      </c>
      <c r="F8" t="inlineStr">
        <is>
          <t>product_list:market</t>
        </is>
      </c>
      <c r="G8" t="n">
        <v>1800</v>
      </c>
      <c r="H8" t="n">
        <v>0</v>
      </c>
      <c r="I8" s="3" t="n">
        <v>1800</v>
      </c>
      <c r="J8">
        <f>IF(I8&gt;0,CEILING(I8*(1-Policy!$B$13/100),IF(I8&lt;10000,50,100)),"")</f>
        <v/>
      </c>
      <c r="K8">
        <f>IF(I8&gt;0,ROUNDUP(I8/Policy!$B$14*(1+Policy!$B$15/100),0),"")</f>
        <v/>
      </c>
      <c r="L8" t="n">
        <v>21</v>
      </c>
      <c r="M8" t="inlineStr">
        <is>
          <t>stroke 13 mm, Fs 1635 N</t>
        </is>
      </c>
    </row>
    <row r="9">
      <c r="A9" t="inlineStr">
        <is>
          <t>AC2020</t>
        </is>
      </c>
      <c r="B9" t="inlineStr">
        <is>
          <t>AC-20-20</t>
        </is>
      </c>
      <c r="C9" t="inlineStr">
        <is>
          <t>AC</t>
        </is>
      </c>
      <c r="D9" t="inlineStr">
        <is>
          <t>file</t>
        </is>
      </c>
      <c r="E9" t="n">
        <v>3456</v>
      </c>
      <c r="F9" t="inlineStr">
        <is>
          <t>product_list:b2b</t>
        </is>
      </c>
      <c r="G9" t="n">
        <v>2917</v>
      </c>
      <c r="H9" t="n">
        <v>0</v>
      </c>
      <c r="I9" s="3" t="n">
        <v>3500</v>
      </c>
      <c r="J9">
        <f>IF(I9&gt;0,CEILING(I9*(1-Policy!$B$13/100),IF(I9&lt;10000,50,100)),"")</f>
        <v/>
      </c>
      <c r="K9">
        <f>IF(I9&gt;0,ROUNDUP(I9/Policy!$B$14*(1+Policy!$B$15/100),0),"")</f>
        <v/>
      </c>
      <c r="L9" t="n">
        <v>21</v>
      </c>
      <c r="M9" t="inlineStr">
        <is>
          <t>stroke 20 mm, Fs 1562 N</t>
        </is>
      </c>
    </row>
    <row r="10">
      <c r="A10" t="inlineStr">
        <is>
          <t>AC2220</t>
        </is>
      </c>
      <c r="B10" t="inlineStr">
        <is>
          <t>AC-22-20</t>
        </is>
      </c>
      <c r="C10" t="inlineStr">
        <is>
          <t>AC</t>
        </is>
      </c>
      <c r="D10" t="inlineStr">
        <is>
          <t>file</t>
        </is>
      </c>
      <c r="E10" t="n">
        <v>2765</v>
      </c>
      <c r="F10" t="inlineStr">
        <is>
          <t>product_list:market</t>
        </is>
      </c>
      <c r="G10" t="n">
        <v>2765</v>
      </c>
      <c r="H10" t="n">
        <v>0</v>
      </c>
      <c r="I10" s="3" t="n">
        <v>2800</v>
      </c>
      <c r="J10">
        <f>IF(I10&gt;0,CEILING(I10*(1-Policy!$B$13/100),IF(I10&lt;10000,50,100)),"")</f>
        <v/>
      </c>
      <c r="K10">
        <f>IF(I10&gt;0,ROUNDUP(I10/Policy!$B$14*(1+Policy!$B$15/100),0),"")</f>
        <v/>
      </c>
      <c r="L10" t="n">
        <v>21</v>
      </c>
      <c r="M10" t="inlineStr">
        <is>
          <t>stroke 20 mm, Fs 1562 N</t>
        </is>
      </c>
    </row>
    <row r="11">
      <c r="A11" t="inlineStr">
        <is>
          <t>AC2050</t>
        </is>
      </c>
      <c r="B11" t="inlineStr">
        <is>
          <t>AC-20-50</t>
        </is>
      </c>
      <c r="C11" t="inlineStr">
        <is>
          <t>AC</t>
        </is>
      </c>
      <c r="D11" t="inlineStr">
        <is>
          <t>model</t>
        </is>
      </c>
      <c r="G11" s="6" t="n">
        <v>3669</v>
      </c>
      <c r="H11" t="n">
        <v>25</v>
      </c>
      <c r="I11" s="3" t="n">
        <v>4600</v>
      </c>
      <c r="J11">
        <f>IF(I11&gt;0,CEILING(I11*(1-Policy!$B$13/100),IF(I11&lt;10000,50,100)),"")</f>
        <v/>
      </c>
      <c r="K11">
        <f>IF(I11&gt;0,ROUNDUP(I11/Policy!$B$14*(1+Policy!$B$15/100),0),"")</f>
        <v/>
      </c>
      <c r="L11" t="n">
        <v>21</v>
      </c>
      <c r="M11" t="inlineStr">
        <is>
          <t>stroke 50 mm, Fs 1500 N</t>
        </is>
      </c>
    </row>
    <row r="12">
      <c r="A12" t="inlineStr">
        <is>
          <t>AC2525</t>
        </is>
      </c>
      <c r="B12" t="inlineStr">
        <is>
          <t>AC-25-25</t>
        </is>
      </c>
      <c r="C12" t="inlineStr">
        <is>
          <t>AC</t>
        </is>
      </c>
      <c r="D12" t="inlineStr">
        <is>
          <t>file</t>
        </is>
      </c>
      <c r="E12" t="n">
        <v>4300</v>
      </c>
      <c r="F12" t="inlineStr">
        <is>
          <t>product_list:market</t>
        </is>
      </c>
      <c r="G12" t="n">
        <v>4624</v>
      </c>
      <c r="H12" t="n">
        <v>0</v>
      </c>
      <c r="I12" s="3" t="n">
        <v>4300</v>
      </c>
      <c r="J12">
        <f>IF(I12&gt;0,CEILING(I12*(1-Policy!$B$13/100),IF(I12&lt;10000,50,100)),"")</f>
        <v/>
      </c>
      <c r="K12">
        <f>IF(I12&gt;0,ROUNDUP(I12/Policy!$B$14*(1+Policy!$B$15/100),0),"")</f>
        <v/>
      </c>
      <c r="L12" t="n">
        <v>21</v>
      </c>
      <c r="M12" t="inlineStr">
        <is>
          <t>stroke 25 mm, Fs 4250 N</t>
        </is>
      </c>
    </row>
    <row r="13">
      <c r="A13" t="inlineStr">
        <is>
          <t>AC2625</t>
        </is>
      </c>
      <c r="B13" t="inlineStr">
        <is>
          <t>AC-26-25</t>
        </is>
      </c>
      <c r="C13" t="inlineStr">
        <is>
          <t>AC</t>
        </is>
      </c>
      <c r="D13" t="inlineStr">
        <is>
          <t>file</t>
        </is>
      </c>
      <c r="E13" t="n">
        <v>4700</v>
      </c>
      <c r="F13" t="inlineStr">
        <is>
          <t>product_list:b2b</t>
        </is>
      </c>
      <c r="G13" t="n">
        <v>4700</v>
      </c>
      <c r="H13" t="n">
        <v>0</v>
      </c>
      <c r="I13" s="3" t="n">
        <v>4700</v>
      </c>
      <c r="J13">
        <f>IF(I13&gt;0,CEILING(I13*(1-Policy!$B$13/100),IF(I13&lt;10000,50,100)),"")</f>
        <v/>
      </c>
      <c r="K13">
        <f>IF(I13&gt;0,ROUNDUP(I13/Policy!$B$14*(1+Policy!$B$15/100),0),"")</f>
        <v/>
      </c>
      <c r="L13" t="n">
        <v>21</v>
      </c>
      <c r="M13" t="inlineStr">
        <is>
          <t>stroke 25 mm, Fs 4250 N</t>
        </is>
      </c>
    </row>
    <row r="14">
      <c r="A14" t="inlineStr">
        <is>
          <t>AC3025</t>
        </is>
      </c>
      <c r="B14" t="inlineStr">
        <is>
          <t>AC-30-25</t>
        </is>
      </c>
      <c r="C14" t="inlineStr">
        <is>
          <t>AC</t>
        </is>
      </c>
      <c r="D14" t="inlineStr">
        <is>
          <t>file</t>
        </is>
      </c>
      <c r="E14" t="n">
        <v>4600</v>
      </c>
      <c r="F14" t="inlineStr">
        <is>
          <t>product_list:market</t>
        </is>
      </c>
      <c r="G14" t="n">
        <v>4412</v>
      </c>
      <c r="H14" t="n">
        <v>0</v>
      </c>
      <c r="I14" s="3" t="n">
        <v>4600</v>
      </c>
      <c r="J14">
        <f>IF(I14&gt;0,CEILING(I14*(1-Policy!$B$13/100),IF(I14&lt;10000,50,100)),"")</f>
        <v/>
      </c>
      <c r="K14">
        <f>IF(I14&gt;0,ROUNDUP(I14/Policy!$B$14*(1+Policy!$B$15/100),0),"")</f>
        <v/>
      </c>
      <c r="L14" t="n">
        <v>21</v>
      </c>
      <c r="M14" t="inlineStr">
        <is>
          <t>stroke 25 mm, Fs 6000 N</t>
        </is>
      </c>
    </row>
    <row r="15">
      <c r="A15" t="inlineStr">
        <is>
          <t>AC3325</t>
        </is>
      </c>
      <c r="B15" t="inlineStr">
        <is>
          <t>AC-33-25</t>
        </is>
      </c>
      <c r="C15" t="inlineStr">
        <is>
          <t>AC</t>
        </is>
      </c>
      <c r="D15" t="inlineStr">
        <is>
          <t>file</t>
        </is>
      </c>
      <c r="E15" t="n">
        <v>5000</v>
      </c>
      <c r="F15" t="inlineStr">
        <is>
          <t>product_list:market</t>
        </is>
      </c>
      <c r="G15" t="n">
        <v>4612</v>
      </c>
      <c r="H15" t="n">
        <v>0</v>
      </c>
      <c r="I15" s="3" t="n">
        <v>5000</v>
      </c>
      <c r="J15">
        <f>IF(I15&gt;0,CEILING(I15*(1-Policy!$B$13/100),IF(I15&lt;10000,50,100)),"")</f>
        <v/>
      </c>
      <c r="K15">
        <f>IF(I15&gt;0,ROUNDUP(I15/Policy!$B$14*(1+Policy!$B$15/100),0),"")</f>
        <v/>
      </c>
      <c r="L15" t="n">
        <v>21</v>
      </c>
      <c r="M15" t="inlineStr">
        <is>
          <t>stroke 25 mm, Fs 6000 N</t>
        </is>
      </c>
    </row>
    <row r="16">
      <c r="A16" t="inlineStr">
        <is>
          <t>AC3625</t>
        </is>
      </c>
      <c r="B16" t="inlineStr">
        <is>
          <t>AC-36-25</t>
        </is>
      </c>
      <c r="C16" t="inlineStr">
        <is>
          <t>AC</t>
        </is>
      </c>
      <c r="D16" t="inlineStr">
        <is>
          <t>file</t>
        </is>
      </c>
      <c r="E16" t="n">
        <v>4800</v>
      </c>
      <c r="F16" t="inlineStr">
        <is>
          <t>product_list:market</t>
        </is>
      </c>
      <c r="G16" t="n">
        <v>4877</v>
      </c>
      <c r="H16" t="n">
        <v>0</v>
      </c>
      <c r="I16" s="3" t="n">
        <v>4800</v>
      </c>
      <c r="J16">
        <f>IF(I16&gt;0,CEILING(I16*(1-Policy!$B$13/100),IF(I16&lt;10000,50,100)),"")</f>
        <v/>
      </c>
      <c r="K16">
        <f>IF(I16&gt;0,ROUNDUP(I16/Policy!$B$14*(1+Policy!$B$15/100),0),"")</f>
        <v/>
      </c>
      <c r="L16" t="n">
        <v>21</v>
      </c>
      <c r="M16" t="inlineStr">
        <is>
          <t>stroke 25 mm, Fs 6000 N</t>
        </is>
      </c>
    </row>
    <row r="17">
      <c r="A17" t="inlineStr">
        <is>
          <t>AC3725</t>
        </is>
      </c>
      <c r="B17" t="inlineStr">
        <is>
          <t>AC-37-25</t>
        </is>
      </c>
      <c r="C17" t="inlineStr">
        <is>
          <t>AC</t>
        </is>
      </c>
      <c r="D17" t="inlineStr">
        <is>
          <t>file</t>
        </is>
      </c>
      <c r="E17" t="n">
        <v>5200</v>
      </c>
      <c r="F17" t="inlineStr">
        <is>
          <t>product_list:market</t>
        </is>
      </c>
      <c r="G17" t="n">
        <v>5200</v>
      </c>
      <c r="H17" t="n">
        <v>0</v>
      </c>
      <c r="I17" s="3" t="n">
        <v>5200</v>
      </c>
      <c r="J17">
        <f>IF(I17&gt;0,CEILING(I17*(1-Policy!$B$13/100),IF(I17&lt;10000,50,100)),"")</f>
        <v/>
      </c>
      <c r="K17">
        <f>IF(I17&gt;0,ROUNDUP(I17/Policy!$B$14*(1+Policy!$B$15/100),0),"")</f>
        <v/>
      </c>
      <c r="L17" t="n">
        <v>21</v>
      </c>
      <c r="M17" t="inlineStr">
        <is>
          <t>stroke 25 mm, Fs 6000 N</t>
        </is>
      </c>
    </row>
    <row r="18">
      <c r="A18" t="inlineStr">
        <is>
          <t>AC2540</t>
        </is>
      </c>
      <c r="B18" t="inlineStr">
        <is>
          <t>AC-25-40</t>
        </is>
      </c>
      <c r="C18" t="inlineStr">
        <is>
          <t>AC</t>
        </is>
      </c>
      <c r="D18" t="inlineStr">
        <is>
          <t>file</t>
        </is>
      </c>
      <c r="E18" t="n">
        <v>5500</v>
      </c>
      <c r="F18" t="inlineStr">
        <is>
          <t>product_list:market</t>
        </is>
      </c>
      <c r="G18" t="n">
        <v>5140</v>
      </c>
      <c r="H18" t="n">
        <v>0</v>
      </c>
      <c r="I18" s="3" t="n">
        <v>5500</v>
      </c>
      <c r="J18">
        <f>IF(I18&gt;0,CEILING(I18*(1-Policy!$B$13/100),IF(I18&lt;10000,50,100)),"")</f>
        <v/>
      </c>
      <c r="K18">
        <f>IF(I18&gt;0,ROUNDUP(I18/Policy!$B$14*(1+Policy!$B$15/100),0),"")</f>
        <v/>
      </c>
      <c r="L18" t="n">
        <v>21</v>
      </c>
      <c r="M18" t="inlineStr">
        <is>
          <t>stroke 40 mm, Fs 4062 N</t>
        </is>
      </c>
    </row>
    <row r="19">
      <c r="A19" t="inlineStr">
        <is>
          <t>AC4225</t>
        </is>
      </c>
      <c r="B19" t="inlineStr">
        <is>
          <t>AC-42-25</t>
        </is>
      </c>
      <c r="C19" t="inlineStr">
        <is>
          <t>AC</t>
        </is>
      </c>
      <c r="D19" t="inlineStr">
        <is>
          <t>file</t>
        </is>
      </c>
      <c r="E19" t="n">
        <v>6600</v>
      </c>
      <c r="F19" t="inlineStr">
        <is>
          <t>product_list:b2b</t>
        </is>
      </c>
      <c r="G19" t="n">
        <v>6600</v>
      </c>
      <c r="H19" t="n">
        <v>0</v>
      </c>
      <c r="I19" s="3" t="n">
        <v>6600</v>
      </c>
      <c r="J19">
        <f>IF(I19&gt;0,CEILING(I19*(1-Policy!$B$13/100),IF(I19&lt;10000,50,100)),"")</f>
        <v/>
      </c>
      <c r="K19">
        <f>IF(I19&gt;0,ROUNDUP(I19/Policy!$B$14*(1+Policy!$B$15/100),0),"")</f>
        <v/>
      </c>
      <c r="L19" t="n">
        <v>21</v>
      </c>
      <c r="M19" t="inlineStr">
        <is>
          <t>stroke 25 mm, Fs 12500 N</t>
        </is>
      </c>
    </row>
    <row r="20">
      <c r="A20" t="inlineStr">
        <is>
          <t>AC3050</t>
        </is>
      </c>
      <c r="B20" t="inlineStr">
        <is>
          <t>AC-30-50</t>
        </is>
      </c>
      <c r="C20" t="inlineStr">
        <is>
          <t>AC</t>
        </is>
      </c>
      <c r="D20" t="inlineStr">
        <is>
          <t>file</t>
        </is>
      </c>
      <c r="E20" t="n">
        <v>5200</v>
      </c>
      <c r="F20" t="inlineStr">
        <is>
          <t>product_list:market</t>
        </is>
      </c>
      <c r="G20" t="n">
        <v>5432</v>
      </c>
      <c r="H20" t="n">
        <v>0</v>
      </c>
      <c r="I20" s="3" t="n">
        <v>5200</v>
      </c>
      <c r="J20">
        <f>IF(I20&gt;0,CEILING(I20*(1-Policy!$B$13/100),IF(I20&lt;10000,50,100)),"")</f>
        <v/>
      </c>
      <c r="K20">
        <f>IF(I20&gt;0,ROUNDUP(I20/Policy!$B$14*(1+Policy!$B$15/100),0),"")</f>
        <v/>
      </c>
      <c r="L20" t="n">
        <v>21</v>
      </c>
      <c r="M20" t="inlineStr">
        <is>
          <t>stroke 50 mm, Fs 6250 N</t>
        </is>
      </c>
    </row>
    <row r="21">
      <c r="A21" t="inlineStr">
        <is>
          <t>AC3350</t>
        </is>
      </c>
      <c r="B21" t="inlineStr">
        <is>
          <t>AC-33-50</t>
        </is>
      </c>
      <c r="C21" t="inlineStr">
        <is>
          <t>AC</t>
        </is>
      </c>
      <c r="D21" t="inlineStr">
        <is>
          <t>file</t>
        </is>
      </c>
      <c r="E21" t="n">
        <v>5200</v>
      </c>
      <c r="F21" t="inlineStr">
        <is>
          <t>product_list:b2b</t>
        </is>
      </c>
      <c r="G21" t="n">
        <v>5678</v>
      </c>
      <c r="H21" t="n">
        <v>0</v>
      </c>
      <c r="I21" s="3" t="n">
        <v>5200</v>
      </c>
      <c r="J21">
        <f>IF(I21&gt;0,CEILING(I21*(1-Policy!$B$13/100),IF(I21&lt;10000,50,100)),"")</f>
        <v/>
      </c>
      <c r="K21">
        <f>IF(I21&gt;0,ROUNDUP(I21/Policy!$B$14*(1+Policy!$B$15/100),0),"")</f>
        <v/>
      </c>
      <c r="L21" t="n">
        <v>21</v>
      </c>
      <c r="M21" t="inlineStr">
        <is>
          <t>stroke 50 mm, Fs 6250 N</t>
        </is>
      </c>
    </row>
    <row r="22">
      <c r="A22" t="inlineStr">
        <is>
          <t>AC3650</t>
        </is>
      </c>
      <c r="B22" t="inlineStr">
        <is>
          <t>AC-36-50</t>
        </is>
      </c>
      <c r="C22" t="inlineStr">
        <is>
          <t>AC</t>
        </is>
      </c>
      <c r="D22" t="inlineStr">
        <is>
          <t>file</t>
        </is>
      </c>
      <c r="E22" t="n">
        <v>6100</v>
      </c>
      <c r="F22" t="inlineStr">
        <is>
          <t>product_list:b2b</t>
        </is>
      </c>
      <c r="G22" t="n">
        <v>6005</v>
      </c>
      <c r="H22" t="n">
        <v>0</v>
      </c>
      <c r="I22" s="3" t="n">
        <v>6100</v>
      </c>
      <c r="J22">
        <f>IF(I22&gt;0,CEILING(I22*(1-Policy!$B$13/100),IF(I22&lt;10000,50,100)),"")</f>
        <v/>
      </c>
      <c r="K22">
        <f>IF(I22&gt;0,ROUNDUP(I22/Policy!$B$14*(1+Policy!$B$15/100),0),"")</f>
        <v/>
      </c>
      <c r="L22" t="n">
        <v>21</v>
      </c>
      <c r="M22" t="inlineStr">
        <is>
          <t>stroke 50 mm, Fs 6250 N</t>
        </is>
      </c>
    </row>
    <row r="23">
      <c r="A23" t="inlineStr">
        <is>
          <t>AC3750</t>
        </is>
      </c>
      <c r="B23" t="inlineStr">
        <is>
          <t>AC-37-50</t>
        </is>
      </c>
      <c r="C23" t="inlineStr">
        <is>
          <t>AC</t>
        </is>
      </c>
      <c r="D23" t="inlineStr">
        <is>
          <t>file</t>
        </is>
      </c>
      <c r="E23" t="n">
        <v>6600</v>
      </c>
      <c r="F23" t="inlineStr">
        <is>
          <t>product_list:market</t>
        </is>
      </c>
      <c r="G23" t="n">
        <v>6402</v>
      </c>
      <c r="H23" t="n">
        <v>0</v>
      </c>
      <c r="I23" s="3" t="n">
        <v>6600</v>
      </c>
      <c r="J23">
        <f>IF(I23&gt;0,CEILING(I23*(1-Policy!$B$13/100),IF(I23&lt;10000,50,100)),"")</f>
        <v/>
      </c>
      <c r="K23">
        <f>IF(I23&gt;0,ROUNDUP(I23/Policy!$B$14*(1+Policy!$B$15/100),0),"")</f>
        <v/>
      </c>
      <c r="L23" t="n">
        <v>21</v>
      </c>
      <c r="M23" t="inlineStr">
        <is>
          <t>stroke 50 mm, Fs 6250 N</t>
        </is>
      </c>
    </row>
    <row r="24">
      <c r="A24" t="inlineStr">
        <is>
          <t>AC3775</t>
        </is>
      </c>
      <c r="B24" t="inlineStr">
        <is>
          <t>AC-37-75</t>
        </is>
      </c>
      <c r="C24" t="inlineStr">
        <is>
          <t>AC</t>
        </is>
      </c>
      <c r="D24" t="inlineStr">
        <is>
          <t>file</t>
        </is>
      </c>
      <c r="E24" t="n">
        <v>6900</v>
      </c>
      <c r="F24" t="inlineStr">
        <is>
          <t>product_list:b2b</t>
        </is>
      </c>
      <c r="G24" t="n">
        <v>7193</v>
      </c>
      <c r="H24" t="n">
        <v>0</v>
      </c>
      <c r="I24" s="3" t="n">
        <v>6900</v>
      </c>
      <c r="J24">
        <f>IF(I24&gt;0,CEILING(I24*(1-Policy!$B$13/100),IF(I24&lt;10000,50,100)),"")</f>
        <v/>
      </c>
      <c r="K24">
        <f>IF(I24&gt;0,ROUNDUP(I24/Policy!$B$14*(1+Policy!$B$15/100),0),"")</f>
        <v/>
      </c>
      <c r="L24" t="n">
        <v>21</v>
      </c>
      <c r="M24" t="inlineStr">
        <is>
          <t>stroke 75 mm, Fs 6333 N</t>
        </is>
      </c>
    </row>
    <row r="25">
      <c r="A25" t="inlineStr">
        <is>
          <t>AC4250</t>
        </is>
      </c>
      <c r="B25" t="inlineStr">
        <is>
          <t>AC-42-50</t>
        </is>
      </c>
      <c r="C25" t="inlineStr">
        <is>
          <t>AC</t>
        </is>
      </c>
      <c r="D25" t="inlineStr">
        <is>
          <t>file</t>
        </is>
      </c>
      <c r="E25" t="n">
        <v>7800</v>
      </c>
      <c r="F25" t="inlineStr">
        <is>
          <t>product_list:market</t>
        </is>
      </c>
      <c r="G25" t="n">
        <v>7967</v>
      </c>
      <c r="H25" t="n">
        <v>0</v>
      </c>
      <c r="I25" s="3" t="n">
        <v>7800</v>
      </c>
      <c r="J25">
        <f>IF(I25&gt;0,CEILING(I25*(1-Policy!$B$13/100),IF(I25&lt;10000,50,100)),"")</f>
        <v/>
      </c>
      <c r="K25">
        <f>IF(I25&gt;0,ROUNDUP(I25/Policy!$B$14*(1+Policy!$B$15/100),0),"")</f>
        <v/>
      </c>
      <c r="L25" t="n">
        <v>21</v>
      </c>
      <c r="M25" t="inlineStr">
        <is>
          <t>stroke 50 mm, Fs 12500 N</t>
        </is>
      </c>
    </row>
    <row r="26">
      <c r="A26" t="inlineStr">
        <is>
          <t>AC4275</t>
        </is>
      </c>
      <c r="B26" t="inlineStr">
        <is>
          <t>AC-42-75</t>
        </is>
      </c>
      <c r="C26" t="inlineStr">
        <is>
          <t>AC</t>
        </is>
      </c>
      <c r="D26" t="inlineStr">
        <is>
          <t>file</t>
        </is>
      </c>
      <c r="E26" t="n">
        <v>9000</v>
      </c>
      <c r="F26" t="inlineStr">
        <is>
          <t>product_list:b2b</t>
        </is>
      </c>
      <c r="G26" t="n">
        <v>8894</v>
      </c>
      <c r="H26" t="n">
        <v>0</v>
      </c>
      <c r="I26" s="3" t="n">
        <v>9000</v>
      </c>
      <c r="J26">
        <f>IF(I26&gt;0,CEILING(I26*(1-Policy!$B$13/100),IF(I26&lt;10000,50,100)),"")</f>
        <v/>
      </c>
      <c r="K26">
        <f>IF(I26&gt;0,ROUNDUP(I26/Policy!$B$14*(1+Policy!$B$15/100),0),"")</f>
        <v/>
      </c>
      <c r="L26" t="n">
        <v>21</v>
      </c>
      <c r="M26" t="inlineStr">
        <is>
          <t>stroke 75 mm, Fs 12500 N</t>
        </is>
      </c>
    </row>
    <row r="27">
      <c r="A27" t="inlineStr">
        <is>
          <t>AC6450</t>
        </is>
      </c>
      <c r="B27" t="inlineStr">
        <is>
          <t>AC-64-50</t>
        </is>
      </c>
      <c r="C27" t="inlineStr">
        <is>
          <t>AC</t>
        </is>
      </c>
      <c r="D27" t="inlineStr">
        <is>
          <t>file</t>
        </is>
      </c>
      <c r="E27" t="n">
        <v>11000</v>
      </c>
      <c r="F27" t="inlineStr">
        <is>
          <t>additional models 2018 (Price List India 2022-23.pdf)</t>
        </is>
      </c>
      <c r="G27" s="6" t="n">
        <v>13156</v>
      </c>
      <c r="H27" t="n">
        <v>0</v>
      </c>
      <c r="I27" s="3" t="n">
        <v>11000</v>
      </c>
      <c r="J27">
        <f>IF(I27&gt;0,CEILING(I27*(1-Policy!$B$13/100),IF(I27&lt;10000,50,100)),"")</f>
        <v/>
      </c>
      <c r="K27">
        <f>IF(I27&gt;0,ROUNDUP(I27/Policy!$B$14*(1+Policy!$B$15/100),0),"")</f>
        <v/>
      </c>
      <c r="L27" t="n">
        <v>21</v>
      </c>
      <c r="M27" t="inlineStr">
        <is>
          <t>stroke 50 mm, Fs 30000 N</t>
        </is>
      </c>
    </row>
    <row r="28">
      <c r="A28" t="inlineStr">
        <is>
          <t>AC64100</t>
        </is>
      </c>
      <c r="B28" t="inlineStr">
        <is>
          <t>AC-64-100</t>
        </is>
      </c>
      <c r="C28" t="inlineStr">
        <is>
          <t>AC</t>
        </is>
      </c>
      <c r="D28" t="inlineStr">
        <is>
          <t>file</t>
        </is>
      </c>
      <c r="E28" t="n">
        <v>12500</v>
      </c>
      <c r="F28" t="inlineStr">
        <is>
          <t>additional models 2018 (Price List India 2022-23.pdf)</t>
        </is>
      </c>
      <c r="G28" s="6" t="n">
        <v>15556</v>
      </c>
      <c r="H28" t="n">
        <v>0</v>
      </c>
      <c r="I28" s="3" t="n">
        <v>12500</v>
      </c>
      <c r="J28">
        <f>IF(I28&gt;0,CEILING(I28*(1-Policy!$B$13/100),IF(I28&lt;10000,50,100)),"")</f>
        <v/>
      </c>
      <c r="K28">
        <f>IF(I28&gt;0,ROUNDUP(I28/Policy!$B$14*(1+Policy!$B$15/100),0),"")</f>
        <v/>
      </c>
      <c r="L28" t="n">
        <v>21</v>
      </c>
      <c r="M28" t="inlineStr">
        <is>
          <t>stroke 100 mm, Fs 28750 N</t>
        </is>
      </c>
    </row>
    <row r="29">
      <c r="A29" t="inlineStr">
        <is>
          <t>AC85125</t>
        </is>
      </c>
      <c r="B29" t="inlineStr">
        <is>
          <t>AC-85-125</t>
        </is>
      </c>
      <c r="C29" t="inlineStr">
        <is>
          <t>AC</t>
        </is>
      </c>
      <c r="D29" t="inlineStr">
        <is>
          <t>model</t>
        </is>
      </c>
      <c r="G29" s="6" t="n">
        <v>22637</v>
      </c>
      <c r="H29" t="n">
        <v>25</v>
      </c>
      <c r="I29" s="3" t="n">
        <v>28300</v>
      </c>
      <c r="J29">
        <f>IF(I29&gt;0,CEILING(I29*(1-Policy!$B$13/100),IF(I29&lt;10000,50,100)),"")</f>
        <v/>
      </c>
      <c r="K29">
        <f>IF(I29&gt;0,ROUNDUP(I29/Policy!$B$14*(1+Policy!$B$15/100),0),"")</f>
        <v/>
      </c>
      <c r="L29" t="n">
        <v>21</v>
      </c>
      <c r="M29" t="inlineStr">
        <is>
          <t>stroke 125 mm, Fs 55000 N</t>
        </is>
      </c>
    </row>
    <row r="30">
      <c r="A30" t="inlineStr">
        <is>
          <t>AC85150</t>
        </is>
      </c>
      <c r="B30" t="inlineStr">
        <is>
          <t>AC-85-150</t>
        </is>
      </c>
      <c r="C30" t="inlineStr">
        <is>
          <t>AC</t>
        </is>
      </c>
      <c r="D30" t="inlineStr">
        <is>
          <t>model</t>
        </is>
      </c>
      <c r="G30" s="6" t="n">
        <v>22711</v>
      </c>
      <c r="H30" t="n">
        <v>25</v>
      </c>
      <c r="I30" s="3" t="n">
        <v>28400</v>
      </c>
      <c r="J30">
        <f>IF(I30&gt;0,CEILING(I30*(1-Policy!$B$13/100),IF(I30&lt;10000,50,100)),"")</f>
        <v/>
      </c>
      <c r="K30">
        <f>IF(I30&gt;0,ROUNDUP(I30/Policy!$B$14*(1+Policy!$B$15/100),0),"")</f>
        <v/>
      </c>
      <c r="L30" t="n">
        <v>21</v>
      </c>
      <c r="M30" t="inlineStr">
        <is>
          <t>stroke 150 mm, Fs 50000 N</t>
        </is>
      </c>
    </row>
    <row r="31">
      <c r="A31" t="inlineStr">
        <is>
          <t>AC115150</t>
        </is>
      </c>
      <c r="B31" t="inlineStr">
        <is>
          <t>AC-115-150</t>
        </is>
      </c>
      <c r="C31" t="inlineStr">
        <is>
          <t>AC</t>
        </is>
      </c>
      <c r="D31" t="inlineStr">
        <is>
          <t>model</t>
        </is>
      </c>
      <c r="G31" s="6" t="n">
        <v>30472</v>
      </c>
      <c r="H31" t="n">
        <v>25</v>
      </c>
      <c r="I31" s="3" t="n">
        <v>38100</v>
      </c>
      <c r="J31">
        <f>IF(I31&gt;0,CEILING(I31*(1-Policy!$B$13/100),IF(I31&lt;10000,50,100)),"")</f>
        <v/>
      </c>
      <c r="K31">
        <f>IF(I31&gt;0,ROUNDUP(I31/Policy!$B$14*(1+Policy!$B$15/100),0),"")</f>
        <v/>
      </c>
      <c r="L31" t="n">
        <v>21</v>
      </c>
      <c r="M31" t="inlineStr">
        <is>
          <t>stroke 150 mm, Fs 91667 N</t>
        </is>
      </c>
    </row>
    <row r="32">
      <c r="A32" t="inlineStr">
        <is>
          <t>AC115200</t>
        </is>
      </c>
      <c r="B32" t="inlineStr">
        <is>
          <t>AC-115-200</t>
        </is>
      </c>
      <c r="C32" t="inlineStr">
        <is>
          <t>AC</t>
        </is>
      </c>
      <c r="D32" t="inlineStr">
        <is>
          <t>model</t>
        </is>
      </c>
      <c r="G32" s="6" t="n">
        <v>32765</v>
      </c>
      <c r="H32" t="n">
        <v>25</v>
      </c>
      <c r="I32" s="3" t="n">
        <v>41000</v>
      </c>
      <c r="J32">
        <f>IF(I32&gt;0,CEILING(I32*(1-Policy!$B$13/100),IF(I32&lt;10000,50,100)),"")</f>
        <v/>
      </c>
      <c r="K32">
        <f>IF(I32&gt;0,ROUNDUP(I32/Policy!$B$14*(1+Policy!$B$15/100),0),"")</f>
        <v/>
      </c>
      <c r="L32" t="n">
        <v>21</v>
      </c>
      <c r="M32" t="inlineStr">
        <is>
          <t>stroke 200 mm, Fs 90625 N</t>
        </is>
      </c>
    </row>
    <row r="33">
      <c r="A33" t="inlineStr">
        <is>
          <t>AC115250</t>
        </is>
      </c>
      <c r="B33" t="inlineStr">
        <is>
          <t>AC-115-250</t>
        </is>
      </c>
      <c r="C33" t="inlineStr">
        <is>
          <t>AC</t>
        </is>
      </c>
      <c r="D33" t="inlineStr">
        <is>
          <t>model</t>
        </is>
      </c>
      <c r="G33" s="6" t="n">
        <v>35158</v>
      </c>
      <c r="H33" t="n">
        <v>25</v>
      </c>
      <c r="I33" s="3" t="n">
        <v>44000</v>
      </c>
      <c r="J33">
        <f>IF(I33&gt;0,CEILING(I33*(1-Policy!$B$13/100),IF(I33&lt;10000,50,100)),"")</f>
        <v/>
      </c>
      <c r="K33">
        <f>IF(I33&gt;0,ROUNDUP(I33/Policy!$B$14*(1+Policy!$B$15/100),0),"")</f>
        <v/>
      </c>
      <c r="L33" t="n">
        <v>21</v>
      </c>
      <c r="M33" t="inlineStr">
        <is>
          <t>stroke 250 mm, Fs 92500 N</t>
        </is>
      </c>
    </row>
    <row r="34">
      <c r="A34" t="inlineStr">
        <is>
          <t>ACX3325</t>
        </is>
      </c>
      <c r="B34" t="inlineStr">
        <is>
          <t>ACX-33-25</t>
        </is>
      </c>
      <c r="C34" t="inlineStr">
        <is>
          <t>ACX</t>
        </is>
      </c>
      <c r="D34" t="inlineStr">
        <is>
          <t>model</t>
        </is>
      </c>
      <c r="G34" s="6" t="n">
        <v>4638</v>
      </c>
      <c r="H34" t="n">
        <v>25</v>
      </c>
      <c r="I34" s="3" t="n">
        <v>5800</v>
      </c>
      <c r="J34">
        <f>IF(I34&gt;0,CEILING(I34*(1-Policy!$B$13/100),IF(I34&lt;10000,50,100)),"")</f>
        <v/>
      </c>
      <c r="K34">
        <f>IF(I34&gt;0,ROUNDUP(I34/Policy!$B$14*(1+Policy!$B$15/100),0),"")</f>
        <v/>
      </c>
      <c r="L34" t="n">
        <v>21</v>
      </c>
      <c r="M34" t="inlineStr">
        <is>
          <t>stroke 23 mm, Fs 9783 N</t>
        </is>
      </c>
    </row>
    <row r="35">
      <c r="A35" t="inlineStr">
        <is>
          <t>ACX3625</t>
        </is>
      </c>
      <c r="B35" t="inlineStr">
        <is>
          <t>ACX-36-25</t>
        </is>
      </c>
      <c r="C35" t="inlineStr">
        <is>
          <t>ACX</t>
        </is>
      </c>
      <c r="D35" t="inlineStr">
        <is>
          <t>model</t>
        </is>
      </c>
      <c r="G35" s="6" t="n">
        <v>4638</v>
      </c>
      <c r="H35" t="n">
        <v>25</v>
      </c>
      <c r="I35" s="3" t="n">
        <v>5800</v>
      </c>
      <c r="J35">
        <f>IF(I35&gt;0,CEILING(I35*(1-Policy!$B$13/100),IF(I35&lt;10000,50,100)),"")</f>
        <v/>
      </c>
      <c r="K35">
        <f>IF(I35&gt;0,ROUNDUP(I35/Policy!$B$14*(1+Policy!$B$15/100),0),"")</f>
        <v/>
      </c>
      <c r="L35" t="n">
        <v>21</v>
      </c>
      <c r="M35" t="inlineStr">
        <is>
          <t>stroke 23 mm, Fs 9783 N</t>
        </is>
      </c>
    </row>
    <row r="36">
      <c r="A36" t="inlineStr">
        <is>
          <t>ACX4525</t>
        </is>
      </c>
      <c r="B36" t="inlineStr">
        <is>
          <t>ACX-45-25</t>
        </is>
      </c>
      <c r="C36" t="inlineStr">
        <is>
          <t>ACX</t>
        </is>
      </c>
      <c r="D36" t="inlineStr">
        <is>
          <t>model</t>
        </is>
      </c>
      <c r="G36" s="6" t="n">
        <v>6578</v>
      </c>
      <c r="H36" t="n">
        <v>25</v>
      </c>
      <c r="I36" s="3" t="n">
        <v>7800</v>
      </c>
      <c r="J36">
        <f>IF(I36&gt;0,CEILING(I36*(1-Policy!$B$13/100),IF(I36&lt;10000,50,100)),"")</f>
        <v/>
      </c>
      <c r="K36">
        <f>IF(I36&gt;0,ROUNDUP(I36/Policy!$B$14*(1+Policy!$B$15/100),0),"")</f>
        <v/>
      </c>
      <c r="L36" t="n">
        <v>21</v>
      </c>
      <c r="M36" t="inlineStr">
        <is>
          <t>stroke 23 mm, Fs 20109 N · capped at the next larger priced model</t>
        </is>
      </c>
    </row>
    <row r="37">
      <c r="A37" t="inlineStr">
        <is>
          <t>ACX4550</t>
        </is>
      </c>
      <c r="B37" t="inlineStr">
        <is>
          <t>ACX-45-50</t>
        </is>
      </c>
      <c r="C37" t="inlineStr">
        <is>
          <t>ACX</t>
        </is>
      </c>
      <c r="D37" t="inlineStr">
        <is>
          <t>file</t>
        </is>
      </c>
      <c r="E37" t="n">
        <v>7800</v>
      </c>
      <c r="F37" t="inlineStr">
        <is>
          <t>product_list:market</t>
        </is>
      </c>
      <c r="G37" t="n">
        <v>7800</v>
      </c>
      <c r="H37" t="n">
        <v>0</v>
      </c>
      <c r="I37" s="3" t="n">
        <v>7800</v>
      </c>
      <c r="J37">
        <f>IF(I37&gt;0,CEILING(I37*(1-Policy!$B$13/100),IF(I37&lt;10000,50,100)),"")</f>
        <v/>
      </c>
      <c r="K37">
        <f>IF(I37&gt;0,ROUNDUP(I37/Policy!$B$14*(1+Policy!$B$15/100),0),"")</f>
        <v/>
      </c>
      <c r="L37" t="n">
        <v>21</v>
      </c>
      <c r="M37" t="inlineStr">
        <is>
          <t>stroke 50 mm, Fs 18500 N</t>
        </is>
      </c>
    </row>
    <row r="38">
      <c r="A38" t="inlineStr">
        <is>
          <t>ACX4575</t>
        </is>
      </c>
      <c r="B38" t="inlineStr">
        <is>
          <t>ACX-45-75</t>
        </is>
      </c>
      <c r="C38" t="inlineStr">
        <is>
          <t>ACX</t>
        </is>
      </c>
      <c r="D38" t="inlineStr">
        <is>
          <t>model</t>
        </is>
      </c>
      <c r="G38" s="6" t="n">
        <v>8783</v>
      </c>
      <c r="H38" t="n">
        <v>25</v>
      </c>
      <c r="I38" s="3" t="n">
        <v>11000</v>
      </c>
      <c r="J38">
        <f>IF(I38&gt;0,CEILING(I38*(1-Policy!$B$13/100),IF(I38&lt;10000,50,100)),"")</f>
        <v/>
      </c>
      <c r="K38">
        <f>IF(I38&gt;0,ROUNDUP(I38/Policy!$B$14*(1+Policy!$B$15/100),0),"")</f>
        <v/>
      </c>
      <c r="L38" t="n">
        <v>21</v>
      </c>
      <c r="M38" t="inlineStr">
        <is>
          <t>stroke 75 mm, Fs 18833 N</t>
        </is>
      </c>
    </row>
    <row r="39">
      <c r="A39" t="inlineStr">
        <is>
          <t>ACX6450</t>
        </is>
      </c>
      <c r="B39" t="inlineStr">
        <is>
          <t>ACX-64-50</t>
        </is>
      </c>
      <c r="C39" t="inlineStr">
        <is>
          <t>ACX</t>
        </is>
      </c>
      <c r="D39" t="inlineStr">
        <is>
          <t>model</t>
        </is>
      </c>
      <c r="G39" s="6" t="n">
        <v>12227</v>
      </c>
      <c r="H39" t="n">
        <v>25</v>
      </c>
      <c r="I39" s="3" t="n">
        <v>15300</v>
      </c>
      <c r="J39">
        <f>IF(I39&gt;0,CEILING(I39*(1-Policy!$B$13/100),IF(I39&lt;10000,50,100)),"")</f>
        <v/>
      </c>
      <c r="K39">
        <f>IF(I39&gt;0,ROUNDUP(I39/Policy!$B$14*(1+Policy!$B$15/100),0),"")</f>
        <v/>
      </c>
      <c r="L39" t="n">
        <v>21</v>
      </c>
      <c r="M39" t="inlineStr">
        <is>
          <t>stroke 50 mm, Fs 46750 N</t>
        </is>
      </c>
    </row>
    <row r="40">
      <c r="A40" t="inlineStr">
        <is>
          <t>ACX64100</t>
        </is>
      </c>
      <c r="B40" t="inlineStr">
        <is>
          <t>ACX-64-100</t>
        </is>
      </c>
      <c r="C40" t="inlineStr">
        <is>
          <t>ACX</t>
        </is>
      </c>
      <c r="D40" t="inlineStr">
        <is>
          <t>model</t>
        </is>
      </c>
      <c r="G40" s="6" t="n">
        <v>14740</v>
      </c>
      <c r="H40" t="n">
        <v>25</v>
      </c>
      <c r="I40" s="3" t="n">
        <v>18500</v>
      </c>
      <c r="J40">
        <f>IF(I40&gt;0,CEILING(I40*(1-Policy!$B$13/100),IF(I40&lt;10000,50,100)),"")</f>
        <v/>
      </c>
      <c r="K40">
        <f>IF(I40&gt;0,ROUNDUP(I40/Policy!$B$14*(1+Policy!$B$15/100),0),"")</f>
        <v/>
      </c>
      <c r="L40" t="n">
        <v>21</v>
      </c>
      <c r="M40" t="inlineStr">
        <is>
          <t>stroke 100 mm, Fs 46625 N</t>
        </is>
      </c>
    </row>
    <row r="41">
      <c r="A41" t="inlineStr">
        <is>
          <t>ACX64150</t>
        </is>
      </c>
      <c r="B41" t="inlineStr">
        <is>
          <t>ACX-64-150</t>
        </is>
      </c>
      <c r="C41" t="inlineStr">
        <is>
          <t>ACX</t>
        </is>
      </c>
      <c r="D41" t="inlineStr">
        <is>
          <t>model</t>
        </is>
      </c>
      <c r="G41" s="6" t="n">
        <v>16533</v>
      </c>
      <c r="H41" t="n">
        <v>25</v>
      </c>
      <c r="I41" s="3" t="n">
        <v>20700</v>
      </c>
      <c r="J41">
        <f>IF(I41&gt;0,CEILING(I41*(1-Policy!$B$13/100),IF(I41&lt;10000,50,100)),"")</f>
        <v/>
      </c>
      <c r="K41">
        <f>IF(I41&gt;0,ROUNDUP(I41/Policy!$B$14*(1+Policy!$B$15/100),0),"")</f>
        <v/>
      </c>
      <c r="L41" t="n">
        <v>21</v>
      </c>
      <c r="M41" t="inlineStr">
        <is>
          <t>stroke 150 mm, Fs 47083 N</t>
        </is>
      </c>
    </row>
    <row r="42">
      <c r="A42" t="inlineStr">
        <is>
          <t>AD1410</t>
        </is>
      </c>
      <c r="B42" t="inlineStr">
        <is>
          <t>AD 14-10</t>
        </is>
      </c>
      <c r="C42" t="inlineStr">
        <is>
          <t>AD</t>
        </is>
      </c>
      <c r="D42" t="inlineStr">
        <is>
          <t>file</t>
        </is>
      </c>
      <c r="E42" t="n">
        <v>1400</v>
      </c>
      <c r="F42" t="inlineStr">
        <is>
          <t>price list 2019 (Price List India 2022-23.pdf)</t>
        </is>
      </c>
      <c r="G42" t="n">
        <v>1300</v>
      </c>
      <c r="H42" t="n">
        <v>0</v>
      </c>
      <c r="I42" s="3" t="n">
        <v>1400</v>
      </c>
      <c r="J42">
        <f>IF(I42&gt;0,CEILING(I42*(1-Policy!$B$13/100),IF(I42&lt;10000,50,100)),"")</f>
        <v/>
      </c>
      <c r="K42">
        <f>IF(I42&gt;0,ROUNDUP(I42/Policy!$B$14*(1+Policy!$B$15/100),0),"")</f>
        <v/>
      </c>
      <c r="L42" t="n">
        <v>28</v>
      </c>
      <c r="M42" t="inlineStr">
        <is>
          <t>stroke 10 mm, Fs 625 N</t>
        </is>
      </c>
    </row>
    <row r="43">
      <c r="A43" t="inlineStr">
        <is>
          <t>AD1613</t>
        </is>
      </c>
      <c r="B43" t="inlineStr">
        <is>
          <t>AD 16-13</t>
        </is>
      </c>
      <c r="C43" t="inlineStr">
        <is>
          <t>AD</t>
        </is>
      </c>
      <c r="D43" t="inlineStr">
        <is>
          <t>file</t>
        </is>
      </c>
      <c r="E43" t="n">
        <v>2400</v>
      </c>
      <c r="F43" t="inlineStr">
        <is>
          <t>price list 2019 (Price List India 2022-23.pdf)</t>
        </is>
      </c>
      <c r="G43" t="n">
        <v>2200</v>
      </c>
      <c r="H43" t="n">
        <v>0</v>
      </c>
      <c r="I43" s="3" t="n">
        <v>2400</v>
      </c>
      <c r="J43">
        <f>IF(I43&gt;0,CEILING(I43*(1-Policy!$B$13/100),IF(I43&lt;10000,50,100)),"")</f>
        <v/>
      </c>
      <c r="K43">
        <f>IF(I43&gt;0,ROUNDUP(I43/Policy!$B$14*(1+Policy!$B$15/100),0),"")</f>
        <v/>
      </c>
      <c r="L43" t="n">
        <v>28</v>
      </c>
      <c r="M43" t="inlineStr">
        <is>
          <t>stroke 13 mm, Fs 1635 N</t>
        </is>
      </c>
    </row>
    <row r="44">
      <c r="A44" t="inlineStr">
        <is>
          <t>AD2020</t>
        </is>
      </c>
      <c r="B44" t="inlineStr">
        <is>
          <t>AD 20-20</t>
        </is>
      </c>
      <c r="C44" t="inlineStr">
        <is>
          <t>AD</t>
        </is>
      </c>
      <c r="D44" t="inlineStr">
        <is>
          <t>file</t>
        </is>
      </c>
      <c r="E44" t="n">
        <v>3600</v>
      </c>
      <c r="F44" t="inlineStr">
        <is>
          <t>product_list:market</t>
        </is>
      </c>
      <c r="G44" t="n">
        <v>3368</v>
      </c>
      <c r="H44" t="n">
        <v>0</v>
      </c>
      <c r="I44" s="3" t="n">
        <v>3600</v>
      </c>
      <c r="J44">
        <f>IF(I44&gt;0,CEILING(I44*(1-Policy!$B$13/100),IF(I44&lt;10000,50,100)),"")</f>
        <v/>
      </c>
      <c r="K44">
        <f>IF(I44&gt;0,ROUNDUP(I44/Policy!$B$14*(1+Policy!$B$15/100),0),"")</f>
        <v/>
      </c>
      <c r="L44" t="n">
        <v>28</v>
      </c>
      <c r="M44" t="inlineStr">
        <is>
          <t>stroke 20 mm, Fs 1562 N</t>
        </is>
      </c>
    </row>
    <row r="45">
      <c r="A45" t="inlineStr">
        <is>
          <t>AD2220</t>
        </is>
      </c>
      <c r="B45" t="inlineStr">
        <is>
          <t>AD 22-20</t>
        </is>
      </c>
      <c r="C45" t="inlineStr">
        <is>
          <t>AD</t>
        </is>
      </c>
      <c r="D45" t="inlineStr">
        <is>
          <t>file</t>
        </is>
      </c>
      <c r="E45" t="n">
        <v>2880</v>
      </c>
      <c r="F45" t="inlineStr">
        <is>
          <t>product_list:market</t>
        </is>
      </c>
      <c r="G45" t="n">
        <v>2880</v>
      </c>
      <c r="H45" t="n">
        <v>0</v>
      </c>
      <c r="I45" s="3" t="n">
        <v>2900</v>
      </c>
      <c r="J45">
        <f>IF(I45&gt;0,CEILING(I45*(1-Policy!$B$13/100),IF(I45&lt;10000,50,100)),"")</f>
        <v/>
      </c>
      <c r="K45">
        <f>IF(I45&gt;0,ROUNDUP(I45/Policy!$B$14*(1+Policy!$B$15/100),0),"")</f>
        <v/>
      </c>
      <c r="L45" t="n">
        <v>28</v>
      </c>
      <c r="M45" t="inlineStr">
        <is>
          <t>stroke 20 mm, Fs 1562 N</t>
        </is>
      </c>
    </row>
    <row r="46">
      <c r="A46" t="inlineStr">
        <is>
          <t>AD2050</t>
        </is>
      </c>
      <c r="B46" t="inlineStr">
        <is>
          <t>AD 20-50</t>
        </is>
      </c>
      <c r="C46" t="inlineStr">
        <is>
          <t>AD</t>
        </is>
      </c>
      <c r="D46" t="inlineStr">
        <is>
          <t>model</t>
        </is>
      </c>
      <c r="G46" s="6" t="n">
        <v>4235</v>
      </c>
      <c r="H46" t="n">
        <v>25</v>
      </c>
      <c r="I46" s="3" t="n">
        <v>5300</v>
      </c>
      <c r="J46">
        <f>IF(I46&gt;0,CEILING(I46*(1-Policy!$B$13/100),IF(I46&lt;10000,50,100)),"")</f>
        <v/>
      </c>
      <c r="K46">
        <f>IF(I46&gt;0,ROUNDUP(I46/Policy!$B$14*(1+Policy!$B$15/100),0),"")</f>
        <v/>
      </c>
      <c r="L46" t="n">
        <v>28</v>
      </c>
      <c r="M46" t="inlineStr">
        <is>
          <t>stroke 50 mm, Fs 1500 N</t>
        </is>
      </c>
    </row>
    <row r="47">
      <c r="A47" t="inlineStr">
        <is>
          <t>AD2525</t>
        </is>
      </c>
      <c r="B47" t="inlineStr">
        <is>
          <t>AD 25-25</t>
        </is>
      </c>
      <c r="C47" t="inlineStr">
        <is>
          <t>AD</t>
        </is>
      </c>
      <c r="D47" t="inlineStr">
        <is>
          <t>file</t>
        </is>
      </c>
      <c r="E47" t="n">
        <v>4560</v>
      </c>
      <c r="F47" t="inlineStr">
        <is>
          <t>product_list:b2b</t>
        </is>
      </c>
      <c r="G47" t="n">
        <v>4871</v>
      </c>
      <c r="H47" t="n">
        <v>0</v>
      </c>
      <c r="I47" s="3" t="n">
        <v>4600</v>
      </c>
      <c r="J47">
        <f>IF(I47&gt;0,CEILING(I47*(1-Policy!$B$13/100),IF(I47&lt;10000,50,100)),"")</f>
        <v/>
      </c>
      <c r="K47">
        <f>IF(I47&gt;0,ROUNDUP(I47/Policy!$B$14*(1+Policy!$B$15/100),0),"")</f>
        <v/>
      </c>
      <c r="L47" t="n">
        <v>28</v>
      </c>
      <c r="M47" t="inlineStr">
        <is>
          <t>stroke 25 mm, Fs 4250 N</t>
        </is>
      </c>
    </row>
    <row r="48">
      <c r="A48" t="inlineStr">
        <is>
          <t>AD2625</t>
        </is>
      </c>
      <c r="B48" t="inlineStr">
        <is>
          <t>AD 26-25</t>
        </is>
      </c>
      <c r="C48" t="inlineStr">
        <is>
          <t>AD</t>
        </is>
      </c>
      <c r="D48" t="inlineStr">
        <is>
          <t>file</t>
        </is>
      </c>
      <c r="E48" t="n">
        <v>4920</v>
      </c>
      <c r="F48" t="inlineStr">
        <is>
          <t>product_list:b2b</t>
        </is>
      </c>
      <c r="G48" t="n">
        <v>4920</v>
      </c>
      <c r="H48" t="n">
        <v>0</v>
      </c>
      <c r="I48" s="3" t="n">
        <v>4950</v>
      </c>
      <c r="J48">
        <f>IF(I48&gt;0,CEILING(I48*(1-Policy!$B$13/100),IF(I48&lt;10000,50,100)),"")</f>
        <v/>
      </c>
      <c r="K48">
        <f>IF(I48&gt;0,ROUNDUP(I48/Policy!$B$14*(1+Policy!$B$15/100),0),"")</f>
        <v/>
      </c>
      <c r="L48" t="n">
        <v>28</v>
      </c>
      <c r="M48" t="inlineStr">
        <is>
          <t>stroke 25 mm, Fs 4250 N</t>
        </is>
      </c>
    </row>
    <row r="49">
      <c r="A49" t="inlineStr">
        <is>
          <t>AD3025</t>
        </is>
      </c>
      <c r="B49" t="inlineStr">
        <is>
          <t>AD 30-25</t>
        </is>
      </c>
      <c r="C49" t="inlineStr">
        <is>
          <t>AD</t>
        </is>
      </c>
      <c r="D49" t="inlineStr">
        <is>
          <t>file</t>
        </is>
      </c>
      <c r="E49" t="n">
        <v>4800</v>
      </c>
      <c r="F49" t="inlineStr">
        <is>
          <t>product_list:b2b</t>
        </is>
      </c>
      <c r="G49" t="n">
        <v>4593</v>
      </c>
      <c r="H49" t="n">
        <v>0</v>
      </c>
      <c r="I49" s="3" t="n">
        <v>4800</v>
      </c>
      <c r="J49">
        <f>IF(I49&gt;0,CEILING(I49*(1-Policy!$B$13/100),IF(I49&lt;10000,50,100)),"")</f>
        <v/>
      </c>
      <c r="K49">
        <f>IF(I49&gt;0,ROUNDUP(I49/Policy!$B$14*(1+Policy!$B$15/100),0),"")</f>
        <v/>
      </c>
      <c r="L49" t="n">
        <v>28</v>
      </c>
      <c r="M49" t="inlineStr">
        <is>
          <t>stroke 25 mm, Fs 6000 N</t>
        </is>
      </c>
    </row>
    <row r="50">
      <c r="A50" t="inlineStr">
        <is>
          <t>AD3325</t>
        </is>
      </c>
      <c r="B50" t="inlineStr">
        <is>
          <t>AD 33-25</t>
        </is>
      </c>
      <c r="C50" t="inlineStr">
        <is>
          <t>AD</t>
        </is>
      </c>
      <c r="D50" t="inlineStr">
        <is>
          <t>file</t>
        </is>
      </c>
      <c r="E50" t="n">
        <v>5280</v>
      </c>
      <c r="F50" t="inlineStr">
        <is>
          <t>product_list:market</t>
        </is>
      </c>
      <c r="G50" t="n">
        <v>4833</v>
      </c>
      <c r="H50" t="n">
        <v>0</v>
      </c>
      <c r="I50" s="3" t="n">
        <v>5300</v>
      </c>
      <c r="J50">
        <f>IF(I50&gt;0,CEILING(I50*(1-Policy!$B$13/100),IF(I50&lt;10000,50,100)),"")</f>
        <v/>
      </c>
      <c r="K50">
        <f>IF(I50&gt;0,ROUNDUP(I50/Policy!$B$14*(1+Policy!$B$15/100),0),"")</f>
        <v/>
      </c>
      <c r="L50" t="n">
        <v>28</v>
      </c>
      <c r="M50" t="inlineStr">
        <is>
          <t>stroke 25 mm, Fs 6000 N</t>
        </is>
      </c>
    </row>
    <row r="51">
      <c r="A51" t="inlineStr">
        <is>
          <t>AD3625</t>
        </is>
      </c>
      <c r="B51" t="inlineStr">
        <is>
          <t>AD 36-25</t>
        </is>
      </c>
      <c r="C51" t="inlineStr">
        <is>
          <t>AD</t>
        </is>
      </c>
      <c r="D51" t="inlineStr">
        <is>
          <t>file</t>
        </is>
      </c>
      <c r="E51" t="n">
        <v>5040</v>
      </c>
      <c r="F51" t="inlineStr">
        <is>
          <t>product_list:market</t>
        </is>
      </c>
      <c r="G51" t="n">
        <v>5103</v>
      </c>
      <c r="H51" t="n">
        <v>0</v>
      </c>
      <c r="I51" s="3" t="n">
        <v>5050</v>
      </c>
      <c r="J51">
        <f>IF(I51&gt;0,CEILING(I51*(1-Policy!$B$13/100),IF(I51&lt;10000,50,100)),"")</f>
        <v/>
      </c>
      <c r="K51">
        <f>IF(I51&gt;0,ROUNDUP(I51/Policy!$B$14*(1+Policy!$B$15/100),0),"")</f>
        <v/>
      </c>
      <c r="L51" t="n">
        <v>28</v>
      </c>
      <c r="M51" t="inlineStr">
        <is>
          <t>stroke 25 mm, Fs 6000 N</t>
        </is>
      </c>
    </row>
    <row r="52">
      <c r="A52" t="inlineStr">
        <is>
          <t>AD3725</t>
        </is>
      </c>
      <c r="B52" t="inlineStr">
        <is>
          <t>AD 37-25</t>
        </is>
      </c>
      <c r="C52" t="inlineStr">
        <is>
          <t>AD</t>
        </is>
      </c>
      <c r="D52" t="inlineStr">
        <is>
          <t>file</t>
        </is>
      </c>
      <c r="E52" t="n">
        <v>5400</v>
      </c>
      <c r="F52" t="inlineStr">
        <is>
          <t>product_list:market</t>
        </is>
      </c>
      <c r="G52" t="n">
        <v>5400</v>
      </c>
      <c r="H52" t="n">
        <v>0</v>
      </c>
      <c r="I52" s="3" t="n">
        <v>5400</v>
      </c>
      <c r="J52">
        <f>IF(I52&gt;0,CEILING(I52*(1-Policy!$B$13/100),IF(I52&lt;10000,50,100)),"")</f>
        <v/>
      </c>
      <c r="K52">
        <f>IF(I52&gt;0,ROUNDUP(I52/Policy!$B$14*(1+Policy!$B$15/100),0),"")</f>
        <v/>
      </c>
      <c r="L52" t="n">
        <v>28</v>
      </c>
      <c r="M52" t="inlineStr">
        <is>
          <t>stroke 25 mm, Fs 6000 N</t>
        </is>
      </c>
    </row>
    <row r="53">
      <c r="A53" t="inlineStr">
        <is>
          <t>AD2540</t>
        </is>
      </c>
      <c r="B53" t="inlineStr">
        <is>
          <t>AD 25-40</t>
        </is>
      </c>
      <c r="C53" t="inlineStr">
        <is>
          <t>AD</t>
        </is>
      </c>
      <c r="D53" t="inlineStr">
        <is>
          <t>file</t>
        </is>
      </c>
      <c r="E53" t="n">
        <v>5760</v>
      </c>
      <c r="F53" t="inlineStr">
        <is>
          <t>product_list:b2b</t>
        </is>
      </c>
      <c r="G53" t="n">
        <v>5414</v>
      </c>
      <c r="H53" t="n">
        <v>0</v>
      </c>
      <c r="I53" s="3" t="n">
        <v>5800</v>
      </c>
      <c r="J53">
        <f>IF(I53&gt;0,CEILING(I53*(1-Policy!$B$13/100),IF(I53&lt;10000,50,100)),"")</f>
        <v/>
      </c>
      <c r="K53">
        <f>IF(I53&gt;0,ROUNDUP(I53/Policy!$B$14*(1+Policy!$B$15/100),0),"")</f>
        <v/>
      </c>
      <c r="L53" t="n">
        <v>28</v>
      </c>
      <c r="M53" t="inlineStr">
        <is>
          <t>stroke 40 mm, Fs 4062 N</t>
        </is>
      </c>
    </row>
    <row r="54">
      <c r="A54" t="inlineStr">
        <is>
          <t>AD3050</t>
        </is>
      </c>
      <c r="B54" t="inlineStr">
        <is>
          <t>AD 30-50</t>
        </is>
      </c>
      <c r="C54" t="inlineStr">
        <is>
          <t>AD</t>
        </is>
      </c>
      <c r="D54" t="inlineStr">
        <is>
          <t>file</t>
        </is>
      </c>
      <c r="E54" t="n">
        <v>5400</v>
      </c>
      <c r="F54" t="inlineStr">
        <is>
          <t>product_list:b2b</t>
        </is>
      </c>
      <c r="G54" t="n">
        <v>5655</v>
      </c>
      <c r="H54" t="n">
        <v>0</v>
      </c>
      <c r="I54" s="3" t="n">
        <v>5400</v>
      </c>
      <c r="J54">
        <f>IF(I54&gt;0,CEILING(I54*(1-Policy!$B$13/100),IF(I54&lt;10000,50,100)),"")</f>
        <v/>
      </c>
      <c r="K54">
        <f>IF(I54&gt;0,ROUNDUP(I54/Policy!$B$14*(1+Policy!$B$15/100),0),"")</f>
        <v/>
      </c>
      <c r="L54" t="n">
        <v>28</v>
      </c>
      <c r="M54" t="inlineStr">
        <is>
          <t>stroke 50 mm, Fs 6250 N</t>
        </is>
      </c>
    </row>
    <row r="55">
      <c r="A55" t="inlineStr">
        <is>
          <t>AD3350</t>
        </is>
      </c>
      <c r="B55" t="inlineStr">
        <is>
          <t>AD 33-50</t>
        </is>
      </c>
      <c r="C55" t="inlineStr">
        <is>
          <t>AD</t>
        </is>
      </c>
      <c r="D55" t="inlineStr">
        <is>
          <t>file</t>
        </is>
      </c>
      <c r="E55" t="n">
        <v>5400</v>
      </c>
      <c r="F55" t="inlineStr">
        <is>
          <t>product_list:b2b</t>
        </is>
      </c>
      <c r="G55" t="n">
        <v>5950</v>
      </c>
      <c r="H55" t="n">
        <v>0</v>
      </c>
      <c r="I55" s="3" t="n">
        <v>5400</v>
      </c>
      <c r="J55">
        <f>IF(I55&gt;0,CEILING(I55*(1-Policy!$B$13/100),IF(I55&lt;10000,50,100)),"")</f>
        <v/>
      </c>
      <c r="K55">
        <f>IF(I55&gt;0,ROUNDUP(I55/Policy!$B$14*(1+Policy!$B$15/100),0),"")</f>
        <v/>
      </c>
      <c r="L55" t="n">
        <v>28</v>
      </c>
      <c r="M55" t="inlineStr">
        <is>
          <t>stroke 50 mm, Fs 6250 N</t>
        </is>
      </c>
    </row>
    <row r="56">
      <c r="A56" t="inlineStr">
        <is>
          <t>AD3650</t>
        </is>
      </c>
      <c r="B56" t="inlineStr">
        <is>
          <t>AD 36-50</t>
        </is>
      </c>
      <c r="C56" t="inlineStr">
        <is>
          <t>AD</t>
        </is>
      </c>
      <c r="D56" t="inlineStr">
        <is>
          <t>file</t>
        </is>
      </c>
      <c r="E56" t="n">
        <v>6360</v>
      </c>
      <c r="F56" t="inlineStr">
        <is>
          <t>product_list:market</t>
        </is>
      </c>
      <c r="G56" t="n">
        <v>6283</v>
      </c>
      <c r="H56" t="n">
        <v>0</v>
      </c>
      <c r="I56" s="3" t="n">
        <v>6400</v>
      </c>
      <c r="J56">
        <f>IF(I56&gt;0,CEILING(I56*(1-Policy!$B$13/100),IF(I56&lt;10000,50,100)),"")</f>
        <v/>
      </c>
      <c r="K56">
        <f>IF(I56&gt;0,ROUNDUP(I56/Policy!$B$14*(1+Policy!$B$15/100),0),"")</f>
        <v/>
      </c>
      <c r="L56" t="n">
        <v>28</v>
      </c>
      <c r="M56" t="inlineStr">
        <is>
          <t>stroke 50 mm, Fs 6250 N</t>
        </is>
      </c>
    </row>
    <row r="57">
      <c r="A57" t="inlineStr">
        <is>
          <t>AD3750</t>
        </is>
      </c>
      <c r="B57" t="inlineStr">
        <is>
          <t>AD 37-50</t>
        </is>
      </c>
      <c r="C57" t="inlineStr">
        <is>
          <t>AD</t>
        </is>
      </c>
      <c r="D57" t="inlineStr">
        <is>
          <t>file</t>
        </is>
      </c>
      <c r="E57" t="n">
        <v>6960</v>
      </c>
      <c r="F57" t="inlineStr">
        <is>
          <t>product_list:market</t>
        </is>
      </c>
      <c r="G57" t="n">
        <v>6648</v>
      </c>
      <c r="H57" t="n">
        <v>0</v>
      </c>
      <c r="I57" s="3" t="n">
        <v>7000</v>
      </c>
      <c r="J57">
        <f>IF(I57&gt;0,CEILING(I57*(1-Policy!$B$13/100),IF(I57&lt;10000,50,100)),"")</f>
        <v/>
      </c>
      <c r="K57">
        <f>IF(I57&gt;0,ROUNDUP(I57/Policy!$B$14*(1+Policy!$B$15/100),0),"")</f>
        <v/>
      </c>
      <c r="L57" t="n">
        <v>28</v>
      </c>
      <c r="M57" t="inlineStr">
        <is>
          <t>stroke 50 mm, Fs 6250 N</t>
        </is>
      </c>
    </row>
    <row r="58">
      <c r="A58" t="inlineStr">
        <is>
          <t>AD4225</t>
        </is>
      </c>
      <c r="B58" t="inlineStr">
        <is>
          <t>AD 42-25</t>
        </is>
      </c>
      <c r="C58" t="inlineStr">
        <is>
          <t>AD</t>
        </is>
      </c>
      <c r="D58" t="inlineStr">
        <is>
          <t>file</t>
        </is>
      </c>
      <c r="E58" t="n">
        <v>8500</v>
      </c>
      <c r="F58" t="inlineStr">
        <is>
          <t>additional models 2018 (Price List India 2022-23.pdf)</t>
        </is>
      </c>
      <c r="G58" s="6" t="n">
        <v>7701</v>
      </c>
      <c r="H58" t="n">
        <v>0</v>
      </c>
      <c r="I58" s="3" t="n">
        <v>8500</v>
      </c>
      <c r="J58">
        <f>IF(I58&gt;0,CEILING(I58*(1-Policy!$B$13/100),IF(I58&lt;10000,50,100)),"")</f>
        <v/>
      </c>
      <c r="K58">
        <f>IF(I58&gt;0,ROUNDUP(I58/Policy!$B$14*(1+Policy!$B$15/100),0),"")</f>
        <v/>
      </c>
      <c r="L58" t="n">
        <v>28</v>
      </c>
      <c r="M58" t="inlineStr">
        <is>
          <t>stroke 25 mm, Fs 12500 N</t>
        </is>
      </c>
    </row>
    <row r="59">
      <c r="A59" t="inlineStr">
        <is>
          <t>AD3775</t>
        </is>
      </c>
      <c r="B59" t="inlineStr">
        <is>
          <t>AD 37-75</t>
        </is>
      </c>
      <c r="C59" t="inlineStr">
        <is>
          <t>AD</t>
        </is>
      </c>
      <c r="D59" t="inlineStr">
        <is>
          <t>file</t>
        </is>
      </c>
      <c r="E59" t="n">
        <v>7200</v>
      </c>
      <c r="F59" t="inlineStr">
        <is>
          <t>product_list:market</t>
        </is>
      </c>
      <c r="G59" t="n">
        <v>7470</v>
      </c>
      <c r="H59" t="n">
        <v>0</v>
      </c>
      <c r="I59" s="3" t="n">
        <v>7200</v>
      </c>
      <c r="J59">
        <f>IF(I59&gt;0,CEILING(I59*(1-Policy!$B$13/100),IF(I59&lt;10000,50,100)),"")</f>
        <v/>
      </c>
      <c r="K59">
        <f>IF(I59&gt;0,ROUNDUP(I59/Policy!$B$14*(1+Policy!$B$15/100),0),"")</f>
        <v/>
      </c>
      <c r="L59" t="n">
        <v>28</v>
      </c>
      <c r="M59" t="inlineStr">
        <is>
          <t>stroke 75 mm, Fs 6333 N</t>
        </is>
      </c>
    </row>
    <row r="60">
      <c r="A60" t="inlineStr">
        <is>
          <t>AD4250</t>
        </is>
      </c>
      <c r="B60" t="inlineStr">
        <is>
          <t>AD 42-50</t>
        </is>
      </c>
      <c r="C60" t="inlineStr">
        <is>
          <t>AD</t>
        </is>
      </c>
      <c r="D60" t="inlineStr">
        <is>
          <t>file</t>
        </is>
      </c>
      <c r="E60" t="n">
        <v>11800</v>
      </c>
      <c r="F60" t="inlineStr">
        <is>
          <t>additional models 2018 (Price List India 2022-23.pdf)</t>
        </is>
      </c>
      <c r="G60" s="6" t="n">
        <v>9296</v>
      </c>
      <c r="H60" t="n">
        <v>0</v>
      </c>
      <c r="I60" s="3" t="n">
        <v>11800</v>
      </c>
      <c r="J60">
        <f>IF(I60&gt;0,CEILING(I60*(1-Policy!$B$13/100),IF(I60&lt;10000,50,100)),"")</f>
        <v/>
      </c>
      <c r="K60">
        <f>IF(I60&gt;0,ROUNDUP(I60/Policy!$B$14*(1+Policy!$B$15/100),0),"")</f>
        <v/>
      </c>
      <c r="L60" t="n">
        <v>28</v>
      </c>
      <c r="M60" t="inlineStr">
        <is>
          <t>stroke 50 mm, Fs 12500 N</t>
        </is>
      </c>
    </row>
    <row r="61">
      <c r="A61" t="inlineStr">
        <is>
          <t>AD4275</t>
        </is>
      </c>
      <c r="B61" t="inlineStr">
        <is>
          <t>AD 42-75</t>
        </is>
      </c>
      <c r="C61" t="inlineStr">
        <is>
          <t>AD</t>
        </is>
      </c>
      <c r="D61" t="inlineStr">
        <is>
          <t>file</t>
        </is>
      </c>
      <c r="E61" t="n">
        <v>12000</v>
      </c>
      <c r="F61" t="inlineStr">
        <is>
          <t>additional models 2018 (Price List India 2022-23.pdf)</t>
        </is>
      </c>
      <c r="G61" s="6" t="n">
        <v>10378</v>
      </c>
      <c r="H61" t="n">
        <v>0</v>
      </c>
      <c r="I61" s="3" t="n">
        <v>12000</v>
      </c>
      <c r="J61">
        <f>IF(I61&gt;0,CEILING(I61*(1-Policy!$B$13/100),IF(I61&lt;10000,50,100)),"")</f>
        <v/>
      </c>
      <c r="K61">
        <f>IF(I61&gt;0,ROUNDUP(I61/Policy!$B$14*(1+Policy!$B$15/100),0),"")</f>
        <v/>
      </c>
      <c r="L61" t="n">
        <v>28</v>
      </c>
      <c r="M61" t="inlineStr">
        <is>
          <t>stroke 75 mm, Fs 12500 N</t>
        </is>
      </c>
    </row>
    <row r="62">
      <c r="A62" t="inlineStr">
        <is>
          <t>AD6450</t>
        </is>
      </c>
      <c r="B62" t="inlineStr">
        <is>
          <t>AD 64-50</t>
        </is>
      </c>
      <c r="C62" t="inlineStr">
        <is>
          <t>AD</t>
        </is>
      </c>
      <c r="D62" t="inlineStr">
        <is>
          <t>file</t>
        </is>
      </c>
      <c r="E62" t="n">
        <v>15000</v>
      </c>
      <c r="F62" t="inlineStr">
        <is>
          <t>additional models 2018 (Price List India 2022-23.pdf)</t>
        </is>
      </c>
      <c r="G62" s="6" t="n">
        <v>14212</v>
      </c>
      <c r="H62" t="n">
        <v>0</v>
      </c>
      <c r="I62" s="3" t="n">
        <v>15000</v>
      </c>
      <c r="J62">
        <f>IF(I62&gt;0,CEILING(I62*(1-Policy!$B$13/100),IF(I62&lt;10000,50,100)),"")</f>
        <v/>
      </c>
      <c r="K62">
        <f>IF(I62&gt;0,ROUNDUP(I62/Policy!$B$14*(1+Policy!$B$15/100),0),"")</f>
        <v/>
      </c>
      <c r="L62" t="n">
        <v>28</v>
      </c>
      <c r="M62" t="inlineStr">
        <is>
          <t>stroke 50 mm, Fs 30000 N</t>
        </is>
      </c>
    </row>
    <row r="63">
      <c r="A63" t="inlineStr">
        <is>
          <t>AD64100</t>
        </is>
      </c>
      <c r="B63" t="inlineStr">
        <is>
          <t>AD 64-100</t>
        </is>
      </c>
      <c r="C63" t="inlineStr">
        <is>
          <t>AD</t>
        </is>
      </c>
      <c r="D63" t="inlineStr">
        <is>
          <t>file</t>
        </is>
      </c>
      <c r="E63" t="n">
        <v>17500</v>
      </c>
      <c r="F63" t="inlineStr">
        <is>
          <t>additional models 2018 (Price List India 2022-23.pdf)</t>
        </is>
      </c>
      <c r="G63" s="6" t="n">
        <v>16805</v>
      </c>
      <c r="H63" t="n">
        <v>0</v>
      </c>
      <c r="I63" s="3" t="n">
        <v>17500</v>
      </c>
      <c r="J63">
        <f>IF(I63&gt;0,CEILING(I63*(1-Policy!$B$13/100),IF(I63&lt;10000,50,100)),"")</f>
        <v/>
      </c>
      <c r="K63">
        <f>IF(I63&gt;0,ROUNDUP(I63/Policy!$B$14*(1+Policy!$B$15/100),0),"")</f>
        <v/>
      </c>
      <c r="L63" t="n">
        <v>28</v>
      </c>
      <c r="M63" t="inlineStr">
        <is>
          <t>stroke 100 mm, Fs 28750 N</t>
        </is>
      </c>
    </row>
    <row r="64">
      <c r="A64" t="inlineStr">
        <is>
          <t>AD85125</t>
        </is>
      </c>
      <c r="B64" t="inlineStr">
        <is>
          <t>AD 85-125</t>
        </is>
      </c>
      <c r="C64" t="inlineStr">
        <is>
          <t>AD</t>
        </is>
      </c>
      <c r="D64" t="inlineStr">
        <is>
          <t>file</t>
        </is>
      </c>
      <c r="E64" t="n">
        <v>40000</v>
      </c>
      <c r="F64" t="inlineStr">
        <is>
          <t>product_list:market</t>
        </is>
      </c>
      <c r="G64" t="n">
        <v>40000</v>
      </c>
      <c r="H64" t="n">
        <v>0</v>
      </c>
      <c r="I64" s="3" t="n">
        <v>40000</v>
      </c>
      <c r="J64">
        <f>IF(I64&gt;0,CEILING(I64*(1-Policy!$B$13/100),IF(I64&lt;10000,50,100)),"")</f>
        <v/>
      </c>
      <c r="K64">
        <f>IF(I64&gt;0,ROUNDUP(I64/Policy!$B$14*(1+Policy!$B$15/100),0),"")</f>
        <v/>
      </c>
      <c r="L64" t="n">
        <v>28</v>
      </c>
      <c r="M64" t="inlineStr">
        <is>
          <t>stroke 125 mm, Fs 55000 N</t>
        </is>
      </c>
    </row>
    <row r="65">
      <c r="A65" t="inlineStr">
        <is>
          <t>AD85150</t>
        </is>
      </c>
      <c r="B65" t="inlineStr">
        <is>
          <t>AD 85-150</t>
        </is>
      </c>
      <c r="C65" t="inlineStr">
        <is>
          <t>AD</t>
        </is>
      </c>
      <c r="D65" t="inlineStr">
        <is>
          <t>model</t>
        </is>
      </c>
      <c r="G65" s="6" t="n">
        <v>40131</v>
      </c>
      <c r="H65" t="n">
        <v>25</v>
      </c>
      <c r="I65" s="3" t="n">
        <v>50200</v>
      </c>
      <c r="J65">
        <f>IF(I65&gt;0,CEILING(I65*(1-Policy!$B$13/100),IF(I65&lt;10000,50,100)),"")</f>
        <v/>
      </c>
      <c r="K65">
        <f>IF(I65&gt;0,ROUNDUP(I65/Policy!$B$14*(1+Policy!$B$15/100),0),"")</f>
        <v/>
      </c>
      <c r="L65" t="n">
        <v>28</v>
      </c>
      <c r="M65" t="inlineStr">
        <is>
          <t>stroke 150 mm, Fs 50000 N</t>
        </is>
      </c>
    </row>
    <row r="66">
      <c r="A66" t="inlineStr">
        <is>
          <t>AD115150</t>
        </is>
      </c>
      <c r="B66" t="inlineStr">
        <is>
          <t>AD 115-150</t>
        </is>
      </c>
      <c r="C66" t="inlineStr">
        <is>
          <t>AD</t>
        </is>
      </c>
      <c r="D66" t="inlineStr">
        <is>
          <t>file</t>
        </is>
      </c>
      <c r="E66" t="n">
        <v>44000</v>
      </c>
      <c r="F66" t="inlineStr">
        <is>
          <t>additional models 2018 (Price List India 2022-23.pdf)</t>
        </is>
      </c>
      <c r="G66" s="6" t="n">
        <v>32918</v>
      </c>
      <c r="H66" t="n">
        <v>0</v>
      </c>
      <c r="I66" s="3" t="n">
        <v>44000</v>
      </c>
      <c r="J66">
        <f>IF(I66&gt;0,CEILING(I66*(1-Policy!$B$13/100),IF(I66&lt;10000,50,100)),"")</f>
        <v/>
      </c>
      <c r="K66">
        <f>IF(I66&gt;0,ROUNDUP(I66/Policy!$B$14*(1+Policy!$B$15/100),0),"")</f>
        <v/>
      </c>
      <c r="L66" t="n">
        <v>28</v>
      </c>
      <c r="M66" t="inlineStr">
        <is>
          <t>stroke 150 mm, Fs 91667 N</t>
        </is>
      </c>
    </row>
    <row r="67">
      <c r="A67" t="inlineStr">
        <is>
          <t>AD115200</t>
        </is>
      </c>
      <c r="B67" t="inlineStr">
        <is>
          <t>AD 115-200</t>
        </is>
      </c>
      <c r="C67" t="inlineStr">
        <is>
          <t>AD</t>
        </is>
      </c>
      <c r="D67" t="inlineStr">
        <is>
          <t>file</t>
        </is>
      </c>
      <c r="E67" t="n">
        <v>50000</v>
      </c>
      <c r="F67" t="inlineStr">
        <is>
          <t>additional models 2018 (Price List India 2022-23.pdf)</t>
        </is>
      </c>
      <c r="G67" s="6" t="n">
        <v>35395</v>
      </c>
      <c r="H67" t="n">
        <v>0</v>
      </c>
      <c r="I67" s="3" t="n">
        <v>50000</v>
      </c>
      <c r="J67">
        <f>IF(I67&gt;0,CEILING(I67*(1-Policy!$B$13/100),IF(I67&lt;10000,50,100)),"")</f>
        <v/>
      </c>
      <c r="K67">
        <f>IF(I67&gt;0,ROUNDUP(I67/Policy!$B$14*(1+Policy!$B$15/100),0),"")</f>
        <v/>
      </c>
      <c r="L67" t="n">
        <v>28</v>
      </c>
      <c r="M67" t="inlineStr">
        <is>
          <t>stroke 200 mm, Fs 90625 N</t>
        </is>
      </c>
    </row>
    <row r="68">
      <c r="A68" t="inlineStr">
        <is>
          <t>AD115250</t>
        </is>
      </c>
      <c r="B68" t="inlineStr">
        <is>
          <t>AD 115-250</t>
        </is>
      </c>
      <c r="C68" t="inlineStr">
        <is>
          <t>AD</t>
        </is>
      </c>
      <c r="D68" t="inlineStr">
        <is>
          <t>file</t>
        </is>
      </c>
      <c r="E68" t="n">
        <v>55000</v>
      </c>
      <c r="F68" t="inlineStr">
        <is>
          <t>additional models 2018 (Price List India 2022-23.pdf)</t>
        </is>
      </c>
      <c r="G68" s="6" t="n">
        <v>37981</v>
      </c>
      <c r="H68" t="n">
        <v>0</v>
      </c>
      <c r="I68" s="3" t="n">
        <v>55000</v>
      </c>
      <c r="J68">
        <f>IF(I68&gt;0,CEILING(I68*(1-Policy!$B$13/100),IF(I68&lt;10000,50,100)),"")</f>
        <v/>
      </c>
      <c r="K68">
        <f>IF(I68&gt;0,ROUNDUP(I68/Policy!$B$14*(1+Policy!$B$15/100),0),"")</f>
        <v/>
      </c>
      <c r="L68" t="n">
        <v>28</v>
      </c>
      <c r="M68" t="inlineStr">
        <is>
          <t>stroke 250 mm, Fs 92500 N</t>
        </is>
      </c>
    </row>
    <row r="69">
      <c r="A69" t="inlineStr">
        <is>
          <t>AKHG6525</t>
        </is>
      </c>
      <c r="B69" t="inlineStr">
        <is>
          <t>AKHG 65-25</t>
        </is>
      </c>
      <c r="C69" t="inlineStr">
        <is>
          <t>AKHG</t>
        </is>
      </c>
      <c r="D69" t="inlineStr">
        <is>
          <t>file</t>
        </is>
      </c>
      <c r="E69" t="n">
        <v>18000</v>
      </c>
      <c r="F69" t="inlineStr">
        <is>
          <t>akhg_pricelist</t>
        </is>
      </c>
      <c r="G69" t="n">
        <v>15086</v>
      </c>
      <c r="H69" t="n">
        <v>0</v>
      </c>
      <c r="I69" s="3" t="n">
        <v>18000</v>
      </c>
      <c r="J69">
        <f>IF(I69&gt;0,CEILING(I69*(1-Policy!$B$13/100),IF(I69&lt;10000,50,100)),"")</f>
        <v/>
      </c>
      <c r="K69">
        <f>IF(I69&gt;0,ROUNDUP(I69/Policy!$B$14*(1+Policy!$B$15/100),0),"")</f>
        <v/>
      </c>
      <c r="L69" t="n">
        <v>42</v>
      </c>
      <c r="M69" t="inlineStr">
        <is>
          <t>stroke 25 mm, Fs 100000 N</t>
        </is>
      </c>
    </row>
    <row r="70">
      <c r="A70" t="inlineStr">
        <is>
          <t>AKHG6550</t>
        </is>
      </c>
      <c r="B70" t="inlineStr">
        <is>
          <t>AKHG 65-50</t>
        </is>
      </c>
      <c r="C70" t="inlineStr">
        <is>
          <t>AKHG</t>
        </is>
      </c>
      <c r="D70" t="inlineStr">
        <is>
          <t>file</t>
        </is>
      </c>
      <c r="E70" t="n">
        <v>18900</v>
      </c>
      <c r="F70" t="inlineStr">
        <is>
          <t>akhg_pricelist</t>
        </is>
      </c>
      <c r="G70" t="n">
        <v>17799</v>
      </c>
      <c r="H70" t="n">
        <v>0</v>
      </c>
      <c r="I70" s="3" t="n">
        <v>18900</v>
      </c>
      <c r="J70">
        <f>IF(I70&gt;0,CEILING(I70*(1-Policy!$B$13/100),IF(I70&lt;10000,50,100)),"")</f>
        <v/>
      </c>
      <c r="K70">
        <f>IF(I70&gt;0,ROUNDUP(I70/Policy!$B$14*(1+Policy!$B$15/100),0),"")</f>
        <v/>
      </c>
      <c r="L70" t="n">
        <v>42</v>
      </c>
      <c r="M70" t="inlineStr">
        <is>
          <t>stroke 50 mm, Fs 100000 N</t>
        </is>
      </c>
    </row>
    <row r="71">
      <c r="A71" t="inlineStr">
        <is>
          <t>AKHG6575</t>
        </is>
      </c>
      <c r="B71" t="inlineStr">
        <is>
          <t>AKHG 65-75</t>
        </is>
      </c>
      <c r="C71" t="inlineStr">
        <is>
          <t>AKHG</t>
        </is>
      </c>
      <c r="D71" t="inlineStr">
        <is>
          <t>file</t>
        </is>
      </c>
      <c r="E71" t="n">
        <v>19800</v>
      </c>
      <c r="F71" t="inlineStr">
        <is>
          <t>akhg_pricelist</t>
        </is>
      </c>
      <c r="G71" t="n">
        <v>19607</v>
      </c>
      <c r="H71" t="n">
        <v>0</v>
      </c>
      <c r="I71" s="3" t="n">
        <v>19800</v>
      </c>
      <c r="J71">
        <f>IF(I71&gt;0,CEILING(I71*(1-Policy!$B$13/100),IF(I71&lt;10000,50,100)),"")</f>
        <v/>
      </c>
      <c r="K71">
        <f>IF(I71&gt;0,ROUNDUP(I71/Policy!$B$14*(1+Policy!$B$15/100),0),"")</f>
        <v/>
      </c>
      <c r="L71" t="n">
        <v>42</v>
      </c>
      <c r="M71" t="inlineStr">
        <is>
          <t>stroke 75 mm, Fs 100000 N</t>
        </is>
      </c>
    </row>
    <row r="72">
      <c r="A72" t="inlineStr">
        <is>
          <t>AKHG65100</t>
        </is>
      </c>
      <c r="B72" t="inlineStr">
        <is>
          <t>AKHG 65-100</t>
        </is>
      </c>
      <c r="C72" t="inlineStr">
        <is>
          <t>AKHG</t>
        </is>
      </c>
      <c r="D72" t="inlineStr">
        <is>
          <t>file</t>
        </is>
      </c>
      <c r="E72" t="n">
        <v>21000</v>
      </c>
      <c r="F72" t="inlineStr">
        <is>
          <t>akhg_pricelist</t>
        </is>
      </c>
      <c r="G72" t="n">
        <v>21000</v>
      </c>
      <c r="H72" t="n">
        <v>0</v>
      </c>
      <c r="I72" s="3" t="n">
        <v>21000</v>
      </c>
      <c r="J72">
        <f>IF(I72&gt;0,CEILING(I72*(1-Policy!$B$13/100),IF(I72&lt;10000,50,100)),"")</f>
        <v/>
      </c>
      <c r="K72">
        <f>IF(I72&gt;0,ROUNDUP(I72/Policy!$B$14*(1+Policy!$B$15/100),0),"")</f>
        <v/>
      </c>
      <c r="L72" t="n">
        <v>42</v>
      </c>
      <c r="M72" t="inlineStr">
        <is>
          <t>stroke 100 mm, Fs 100000 N</t>
        </is>
      </c>
    </row>
    <row r="73">
      <c r="A73" t="inlineStr">
        <is>
          <t>AKHG8550</t>
        </is>
      </c>
      <c r="B73" t="inlineStr">
        <is>
          <t>AKHG 85-50</t>
        </is>
      </c>
      <c r="C73" t="inlineStr">
        <is>
          <t>AKHG</t>
        </is>
      </c>
      <c r="D73" t="inlineStr">
        <is>
          <t>model</t>
        </is>
      </c>
      <c r="G73" s="6" t="n">
        <v>20689</v>
      </c>
      <c r="H73" t="n">
        <v>25</v>
      </c>
      <c r="I73" s="3" t="n">
        <v>25900</v>
      </c>
      <c r="J73">
        <f>IF(I73&gt;0,CEILING(I73*(1-Policy!$B$13/100),IF(I73&lt;10000,50,100)),"")</f>
        <v/>
      </c>
      <c r="K73">
        <f>IF(I73&gt;0,ROUNDUP(I73/Policy!$B$14*(1+Policy!$B$15/100),0),"")</f>
        <v/>
      </c>
      <c r="L73" t="n">
        <v>42</v>
      </c>
      <c r="M73" t="inlineStr">
        <is>
          <t>stroke 50 mm, Fs 200000 N</t>
        </is>
      </c>
    </row>
    <row r="74">
      <c r="A74" t="inlineStr">
        <is>
          <t>AKHG65125</t>
        </is>
      </c>
      <c r="B74" t="inlineStr">
        <is>
          <t>AKHG 65-125</t>
        </is>
      </c>
      <c r="C74" t="inlineStr">
        <is>
          <t>AKHG</t>
        </is>
      </c>
      <c r="D74" t="inlineStr">
        <is>
          <t>file</t>
        </is>
      </c>
      <c r="E74" t="n">
        <v>22000</v>
      </c>
      <c r="F74" t="inlineStr">
        <is>
          <t>akhg_pricelist</t>
        </is>
      </c>
      <c r="G74" t="n">
        <v>22148</v>
      </c>
      <c r="H74" t="n">
        <v>0</v>
      </c>
      <c r="I74" s="3" t="n">
        <v>22000</v>
      </c>
      <c r="J74">
        <f>IF(I74&gt;0,CEILING(I74*(1-Policy!$B$13/100),IF(I74&lt;10000,50,100)),"")</f>
        <v/>
      </c>
      <c r="K74">
        <f>IF(I74&gt;0,ROUNDUP(I74/Policy!$B$14*(1+Policy!$B$15/100),0),"")</f>
        <v/>
      </c>
      <c r="L74" t="n">
        <v>42</v>
      </c>
      <c r="M74" t="inlineStr">
        <is>
          <t>stroke 125 mm, Fs 100000 N</t>
        </is>
      </c>
    </row>
    <row r="75">
      <c r="A75" t="inlineStr">
        <is>
          <t>AKHG10050</t>
        </is>
      </c>
      <c r="B75" t="inlineStr">
        <is>
          <t>AKHG 100-50</t>
        </is>
      </c>
      <c r="C75" t="inlineStr">
        <is>
          <t>AKHG</t>
        </is>
      </c>
      <c r="D75" t="inlineStr">
        <is>
          <t>file</t>
        </is>
      </c>
      <c r="E75" t="n">
        <v>37700</v>
      </c>
      <c r="F75" t="inlineStr">
        <is>
          <t>hydraulic_pricelist</t>
        </is>
      </c>
      <c r="G75" t="n">
        <v>30915</v>
      </c>
      <c r="H75" t="n">
        <v>0</v>
      </c>
      <c r="I75" s="3" t="n">
        <v>37700</v>
      </c>
      <c r="J75">
        <f>IF(I75&gt;0,CEILING(I75*(1-Policy!$B$13/100),IF(I75&lt;10000,50,100)),"")</f>
        <v/>
      </c>
      <c r="K75">
        <f>IF(I75&gt;0,ROUNDUP(I75/Policy!$B$14*(1+Policy!$B$15/100),0),"")</f>
        <v/>
      </c>
      <c r="L75" t="n">
        <v>42</v>
      </c>
      <c r="M75" t="inlineStr">
        <is>
          <t>stroke 50 mm, Fs 275000 N</t>
        </is>
      </c>
    </row>
    <row r="76">
      <c r="A76" t="inlineStr">
        <is>
          <t>AKHG65150</t>
        </is>
      </c>
      <c r="B76" t="inlineStr">
        <is>
          <t>AKHG 65-150</t>
        </is>
      </c>
      <c r="C76" t="inlineStr">
        <is>
          <t>AKHG</t>
        </is>
      </c>
      <c r="D76" t="inlineStr">
        <is>
          <t>file</t>
        </is>
      </c>
      <c r="E76" t="n">
        <v>23100</v>
      </c>
      <c r="F76" t="inlineStr">
        <is>
          <t>hydraulic_pricelist</t>
        </is>
      </c>
      <c r="G76" t="n">
        <v>23133</v>
      </c>
      <c r="H76" t="n">
        <v>0</v>
      </c>
      <c r="I76" s="3" t="n">
        <v>23100</v>
      </c>
      <c r="J76">
        <f>IF(I76&gt;0,CEILING(I76*(1-Policy!$B$13/100),IF(I76&lt;10000,50,100)),"")</f>
        <v/>
      </c>
      <c r="K76">
        <f>IF(I76&gt;0,ROUNDUP(I76/Policy!$B$14*(1+Policy!$B$15/100),0),"")</f>
        <v/>
      </c>
      <c r="L76" t="n">
        <v>42</v>
      </c>
      <c r="M76" t="inlineStr">
        <is>
          <t>stroke 150 mm, Fs 100000 N</t>
        </is>
      </c>
    </row>
    <row r="77">
      <c r="A77" t="inlineStr">
        <is>
          <t>AKHG65200</t>
        </is>
      </c>
      <c r="B77" t="inlineStr">
        <is>
          <t>AKHG 65-200</t>
        </is>
      </c>
      <c r="C77" t="inlineStr">
        <is>
          <t>AKHG</t>
        </is>
      </c>
      <c r="D77" t="inlineStr">
        <is>
          <t>file</t>
        </is>
      </c>
      <c r="E77" t="n">
        <v>24400</v>
      </c>
      <c r="F77" t="inlineStr">
        <is>
          <t>hydraulic_pricelist</t>
        </is>
      </c>
      <c r="G77" t="n">
        <v>24777</v>
      </c>
      <c r="H77" t="n">
        <v>0</v>
      </c>
      <c r="I77" s="3" t="n">
        <v>24400</v>
      </c>
      <c r="J77">
        <f>IF(I77&gt;0,CEILING(I77*(1-Policy!$B$13/100),IF(I77&lt;10000,50,100)),"")</f>
        <v/>
      </c>
      <c r="K77">
        <f>IF(I77&gt;0,ROUNDUP(I77/Policy!$B$14*(1+Policy!$B$15/100),0),"")</f>
        <v/>
      </c>
      <c r="L77" t="n">
        <v>42</v>
      </c>
      <c r="M77" t="inlineStr">
        <is>
          <t>stroke 200 mm, Fs 100000 N</t>
        </is>
      </c>
    </row>
    <row r="78">
      <c r="A78" t="inlineStr">
        <is>
          <t>AKHG85100</t>
        </is>
      </c>
      <c r="B78" t="inlineStr">
        <is>
          <t>AKHG 85-100</t>
        </is>
      </c>
      <c r="C78" t="inlineStr">
        <is>
          <t>AKHG</t>
        </is>
      </c>
      <c r="D78" t="inlineStr">
        <is>
          <t>file</t>
        </is>
      </c>
      <c r="E78" t="n">
        <v>29000</v>
      </c>
      <c r="F78" t="inlineStr">
        <is>
          <t>product_list:b2b</t>
        </is>
      </c>
      <c r="G78" t="n">
        <v>24410</v>
      </c>
      <c r="H78" t="n">
        <v>0</v>
      </c>
      <c r="I78" s="3" t="n">
        <v>29000</v>
      </c>
      <c r="J78">
        <f>IF(I78&gt;0,CEILING(I78*(1-Policy!$B$13/100),IF(I78&lt;10000,50,100)),"")</f>
        <v/>
      </c>
      <c r="K78">
        <f>IF(I78&gt;0,ROUNDUP(I78/Policy!$B$14*(1+Policy!$B$15/100),0),"")</f>
        <v/>
      </c>
      <c r="L78" t="n">
        <v>42</v>
      </c>
      <c r="M78" t="inlineStr">
        <is>
          <t>stroke 100 mm, Fs 200000 N</t>
        </is>
      </c>
    </row>
    <row r="79">
      <c r="A79" t="inlineStr">
        <is>
          <t>AKHG10080</t>
        </is>
      </c>
      <c r="B79" t="inlineStr">
        <is>
          <t>AKHG 100-80</t>
        </is>
      </c>
      <c r="C79" t="inlineStr">
        <is>
          <t>AKHG</t>
        </is>
      </c>
      <c r="D79" t="inlineStr">
        <is>
          <t>file</t>
        </is>
      </c>
      <c r="E79" t="n">
        <v>38600</v>
      </c>
      <c r="F79" t="inlineStr">
        <is>
          <t>product_list:b2b</t>
        </is>
      </c>
      <c r="G79" t="n">
        <v>34991</v>
      </c>
      <c r="H79" t="n">
        <v>0</v>
      </c>
      <c r="I79" s="3" t="n">
        <v>38600</v>
      </c>
      <c r="J79">
        <f>IF(I79&gt;0,CEILING(I79*(1-Policy!$B$13/100),IF(I79&lt;10000,50,100)),"")</f>
        <v/>
      </c>
      <c r="K79">
        <f>IF(I79&gt;0,ROUNDUP(I79/Policy!$B$14*(1+Policy!$B$15/100),0),"")</f>
        <v/>
      </c>
      <c r="L79" t="n">
        <v>42</v>
      </c>
      <c r="M79" t="inlineStr">
        <is>
          <t>stroke 80 mm, Fs 281250 N</t>
        </is>
      </c>
    </row>
    <row r="80">
      <c r="A80" t="inlineStr">
        <is>
          <t>AKHG100100</t>
        </is>
      </c>
      <c r="B80" t="inlineStr">
        <is>
          <t>AKHG 100-100</t>
        </is>
      </c>
      <c r="C80" t="inlineStr">
        <is>
          <t>AKHG</t>
        </is>
      </c>
      <c r="D80" t="inlineStr">
        <is>
          <t>file</t>
        </is>
      </c>
      <c r="E80" t="n">
        <v>38700</v>
      </c>
      <c r="F80" t="inlineStr">
        <is>
          <t>akhg_pricelist</t>
        </is>
      </c>
      <c r="G80" t="n">
        <v>37330</v>
      </c>
      <c r="H80" t="n">
        <v>0</v>
      </c>
      <c r="I80" s="3" t="n">
        <v>38700</v>
      </c>
      <c r="J80">
        <f>IF(I80&gt;0,CEILING(I80*(1-Policy!$B$13/100),IF(I80&lt;10000,50,100)),"")</f>
        <v/>
      </c>
      <c r="K80">
        <f>IF(I80&gt;0,ROUNDUP(I80/Policy!$B$14*(1+Policy!$B$15/100),0),"")</f>
        <v/>
      </c>
      <c r="L80" t="n">
        <v>42</v>
      </c>
      <c r="M80" t="inlineStr">
        <is>
          <t>stroke 100 mm, Fs 287500 N</t>
        </is>
      </c>
    </row>
    <row r="81">
      <c r="A81" t="inlineStr">
        <is>
          <t>AKHG85150</t>
        </is>
      </c>
      <c r="B81" t="inlineStr">
        <is>
          <t>AKHG 85-150</t>
        </is>
      </c>
      <c r="C81" t="inlineStr">
        <is>
          <t>AKHG</t>
        </is>
      </c>
      <c r="D81" t="inlineStr">
        <is>
          <t>model</t>
        </is>
      </c>
      <c r="G81" s="6" t="n">
        <v>26890</v>
      </c>
      <c r="H81" t="n">
        <v>25</v>
      </c>
      <c r="I81" s="3" t="n">
        <v>30400</v>
      </c>
      <c r="J81">
        <f>IF(I81&gt;0,CEILING(I81*(1-Policy!$B$13/100),IF(I81&lt;10000,50,100)),"")</f>
        <v/>
      </c>
      <c r="K81">
        <f>IF(I81&gt;0,ROUNDUP(I81/Policy!$B$14*(1+Policy!$B$15/100),0),"")</f>
        <v/>
      </c>
      <c r="L81" t="n">
        <v>42</v>
      </c>
      <c r="M81" t="inlineStr">
        <is>
          <t>stroke 150 mm, Fs 200000 N · capped at the next larger priced model</t>
        </is>
      </c>
    </row>
    <row r="82">
      <c r="A82" t="inlineStr">
        <is>
          <t>AKHG100120</t>
        </is>
      </c>
      <c r="B82" t="inlineStr">
        <is>
          <t>AKHG 100-120</t>
        </is>
      </c>
      <c r="C82" t="inlineStr">
        <is>
          <t>AKHG</t>
        </is>
      </c>
      <c r="D82" t="inlineStr">
        <is>
          <t>file</t>
        </is>
      </c>
      <c r="E82" t="n">
        <v>39500</v>
      </c>
      <c r="F82" t="inlineStr">
        <is>
          <t>product_list:market</t>
        </is>
      </c>
      <c r="G82" t="n">
        <v>38546</v>
      </c>
      <c r="H82" t="n">
        <v>0</v>
      </c>
      <c r="I82" s="3" t="n">
        <v>39500</v>
      </c>
      <c r="J82">
        <f>IF(I82&gt;0,CEILING(I82*(1-Policy!$B$13/100),IF(I82&lt;10000,50,100)),"")</f>
        <v/>
      </c>
      <c r="K82">
        <f>IF(I82&gt;0,ROUNDUP(I82/Policy!$B$14*(1+Policy!$B$15/100),0),"")</f>
        <v/>
      </c>
      <c r="L82" t="n">
        <v>42</v>
      </c>
      <c r="M82" t="inlineStr">
        <is>
          <t>stroke 120 mm, Fs 281250 N</t>
        </is>
      </c>
    </row>
    <row r="83">
      <c r="A83" t="inlineStr">
        <is>
          <t>AKHG85200</t>
        </is>
      </c>
      <c r="B83" t="inlineStr">
        <is>
          <t>AKHG 85-200</t>
        </is>
      </c>
      <c r="C83" t="inlineStr">
        <is>
          <t>AKHG</t>
        </is>
      </c>
      <c r="D83" t="inlineStr">
        <is>
          <t>file</t>
        </is>
      </c>
      <c r="E83" t="n">
        <v>30400</v>
      </c>
      <c r="F83" t="inlineStr">
        <is>
          <t>product_list:market</t>
        </is>
      </c>
      <c r="G83" t="n">
        <v>28800</v>
      </c>
      <c r="H83" t="n">
        <v>0</v>
      </c>
      <c r="I83" s="3" t="n">
        <v>30400</v>
      </c>
      <c r="J83">
        <f>IF(I83&gt;0,CEILING(I83*(1-Policy!$B$13/100),IF(I83&lt;10000,50,100)),"")</f>
        <v/>
      </c>
      <c r="K83">
        <f>IF(I83&gt;0,ROUNDUP(I83/Policy!$B$14*(1+Policy!$B$15/100),0),"")</f>
        <v/>
      </c>
      <c r="L83" t="n">
        <v>42</v>
      </c>
      <c r="M83" t="inlineStr">
        <is>
          <t>stroke 200 mm, Fs 200000 N</t>
        </is>
      </c>
    </row>
    <row r="84">
      <c r="A84" t="inlineStr">
        <is>
          <t>AKHG100150</t>
        </is>
      </c>
      <c r="B84" t="inlineStr">
        <is>
          <t>AKHG 100-150</t>
        </is>
      </c>
      <c r="C84" t="inlineStr">
        <is>
          <t>AKHG</t>
        </is>
      </c>
      <c r="D84" t="inlineStr">
        <is>
          <t>file</t>
        </is>
      </c>
      <c r="E84" t="n">
        <v>39800</v>
      </c>
      <c r="F84" t="inlineStr">
        <is>
          <t>hydraulic_pricelist</t>
        </is>
      </c>
      <c r="G84" t="n">
        <v>40810</v>
      </c>
      <c r="H84" t="n">
        <v>0</v>
      </c>
      <c r="I84" s="3" t="n">
        <v>39800</v>
      </c>
      <c r="J84">
        <f>IF(I84&gt;0,CEILING(I84*(1-Policy!$B$13/100),IF(I84&lt;10000,50,100)),"")</f>
        <v/>
      </c>
      <c r="K84">
        <f>IF(I84&gt;0,ROUNDUP(I84/Policy!$B$14*(1+Policy!$B$15/100),0),"")</f>
        <v/>
      </c>
      <c r="L84" t="n">
        <v>42</v>
      </c>
      <c r="M84" t="inlineStr">
        <is>
          <t>stroke 150 mm, Fs 283333 N</t>
        </is>
      </c>
    </row>
    <row r="85">
      <c r="A85" t="inlineStr">
        <is>
          <t>AKHG85250</t>
        </is>
      </c>
      <c r="B85" t="inlineStr">
        <is>
          <t>AKHG 85-250</t>
        </is>
      </c>
      <c r="C85" t="inlineStr">
        <is>
          <t>AKHG</t>
        </is>
      </c>
      <c r="D85" t="inlineStr">
        <is>
          <t>file</t>
        </is>
      </c>
      <c r="E85" t="n">
        <v>30400</v>
      </c>
      <c r="F85" t="inlineStr">
        <is>
          <t>product_list:b2b</t>
        </is>
      </c>
      <c r="G85" t="n">
        <v>30375</v>
      </c>
      <c r="H85" t="n">
        <v>0</v>
      </c>
      <c r="I85" s="3" t="n">
        <v>30400</v>
      </c>
      <c r="J85">
        <f>IF(I85&gt;0,CEILING(I85*(1-Policy!$B$13/100),IF(I85&lt;10000,50,100)),"")</f>
        <v/>
      </c>
      <c r="K85">
        <f>IF(I85&gt;0,ROUNDUP(I85/Policy!$B$14*(1+Policy!$B$15/100),0),"")</f>
        <v/>
      </c>
      <c r="L85" t="n">
        <v>42</v>
      </c>
      <c r="M85" t="inlineStr">
        <is>
          <t>stroke 250 mm, Fs 200000 N</t>
        </is>
      </c>
    </row>
    <row r="86">
      <c r="A86" t="inlineStr">
        <is>
          <t>AKHG120100</t>
        </is>
      </c>
      <c r="B86" t="inlineStr">
        <is>
          <t>AKHG 120-100</t>
        </is>
      </c>
      <c r="C86" t="inlineStr">
        <is>
          <t>AKHG</t>
        </is>
      </c>
      <c r="D86" t="inlineStr">
        <is>
          <t>file</t>
        </is>
      </c>
      <c r="E86" t="n">
        <v>48200</v>
      </c>
      <c r="F86" t="inlineStr">
        <is>
          <t>hydraulic_pricelist</t>
        </is>
      </c>
      <c r="G86" t="n">
        <v>47017</v>
      </c>
      <c r="H86" t="n">
        <v>0</v>
      </c>
      <c r="I86" s="3" t="n">
        <v>48200</v>
      </c>
      <c r="J86">
        <f>IF(I86&gt;0,CEILING(I86*(1-Policy!$B$13/100),IF(I86&lt;10000,50,100)),"")</f>
        <v/>
      </c>
      <c r="K86">
        <f>IF(I86&gt;0,ROUNDUP(I86/Policy!$B$14*(1+Policy!$B$15/100),0),"")</f>
        <v/>
      </c>
      <c r="L86" t="n">
        <v>42</v>
      </c>
      <c r="M86" t="inlineStr">
        <is>
          <t>stroke 100 mm, Fs 562500 N</t>
        </is>
      </c>
    </row>
    <row r="87">
      <c r="A87" t="inlineStr">
        <is>
          <t>AKHG100200</t>
        </is>
      </c>
      <c r="B87" t="inlineStr">
        <is>
          <t>AKHG 100-200</t>
        </is>
      </c>
      <c r="C87" t="inlineStr">
        <is>
          <t>AKHG</t>
        </is>
      </c>
      <c r="D87" t="inlineStr">
        <is>
          <t>file</t>
        </is>
      </c>
      <c r="E87" t="n">
        <v>48000</v>
      </c>
      <c r="F87" t="inlineStr">
        <is>
          <t>product_list:market</t>
        </is>
      </c>
      <c r="G87" t="n">
        <v>44044</v>
      </c>
      <c r="H87" t="n">
        <v>0</v>
      </c>
      <c r="I87" s="3" t="n">
        <v>48000</v>
      </c>
      <c r="J87">
        <f>IF(I87&gt;0,CEILING(I87*(1-Policy!$B$13/100),IF(I87&lt;10000,50,100)),"")</f>
        <v/>
      </c>
      <c r="K87">
        <f>IF(I87&gt;0,ROUNDUP(I87/Policy!$B$14*(1+Policy!$B$15/100),0),"")</f>
        <v/>
      </c>
      <c r="L87" t="n">
        <v>42</v>
      </c>
      <c r="M87" t="inlineStr">
        <is>
          <t>stroke 200 mm, Fs 287500 N</t>
        </is>
      </c>
    </row>
    <row r="88">
      <c r="A88" t="inlineStr">
        <is>
          <t>AKHG100250</t>
        </is>
      </c>
      <c r="B88" t="inlineStr">
        <is>
          <t>AKHG 100-250</t>
        </is>
      </c>
      <c r="C88" t="inlineStr">
        <is>
          <t>AKHG</t>
        </is>
      </c>
      <c r="D88" t="inlineStr">
        <is>
          <t>file</t>
        </is>
      </c>
      <c r="E88" t="n">
        <v>42500</v>
      </c>
      <c r="F88" t="inlineStr">
        <is>
          <t>product_list:b2b</t>
        </is>
      </c>
      <c r="G88" t="n">
        <v>46663</v>
      </c>
      <c r="H88" t="n">
        <v>0</v>
      </c>
      <c r="I88" s="3" t="n">
        <v>42500</v>
      </c>
      <c r="J88">
        <f>IF(I88&gt;0,CEILING(I88*(1-Policy!$B$13/100),IF(I88&lt;10000,50,100)),"")</f>
        <v/>
      </c>
      <c r="K88">
        <f>IF(I88&gt;0,ROUNDUP(I88/Policy!$B$14*(1+Policy!$B$15/100),0),"")</f>
        <v/>
      </c>
      <c r="L88" t="n">
        <v>42</v>
      </c>
      <c r="M88" t="inlineStr">
        <is>
          <t>stroke 250 mm, Fs 290000 N</t>
        </is>
      </c>
    </row>
    <row r="89">
      <c r="A89" t="inlineStr">
        <is>
          <t>AKHG140100</t>
        </is>
      </c>
      <c r="B89" t="inlineStr">
        <is>
          <t>AKHG 140-100</t>
        </is>
      </c>
      <c r="C89" t="inlineStr">
        <is>
          <t>AKHG</t>
        </is>
      </c>
      <c r="D89" t="inlineStr">
        <is>
          <t>file</t>
        </is>
      </c>
      <c r="E89" t="n">
        <v>58900</v>
      </c>
      <c r="F89" t="inlineStr">
        <is>
          <t>akhg_pricelist</t>
        </is>
      </c>
      <c r="G89" t="n">
        <v>58900</v>
      </c>
      <c r="H89" t="n">
        <v>0</v>
      </c>
      <c r="I89" s="3" t="n">
        <v>58900</v>
      </c>
      <c r="J89">
        <f>IF(I89&gt;0,CEILING(I89*(1-Policy!$B$13/100),IF(I89&lt;10000,50,100)),"")</f>
        <v/>
      </c>
      <c r="K89">
        <f>IF(I89&gt;0,ROUNDUP(I89/Policy!$B$14*(1+Policy!$B$15/100),0),"")</f>
        <v/>
      </c>
      <c r="L89" t="n">
        <v>42</v>
      </c>
      <c r="M89" t="inlineStr">
        <is>
          <t>stroke 100 mm, Fs 775000 N</t>
        </is>
      </c>
    </row>
    <row r="90">
      <c r="A90" t="inlineStr">
        <is>
          <t>AKHG100300</t>
        </is>
      </c>
      <c r="B90" t="inlineStr">
        <is>
          <t>AKHG 100-300</t>
        </is>
      </c>
      <c r="C90" t="inlineStr">
        <is>
          <t>AKHG</t>
        </is>
      </c>
      <c r="D90" t="inlineStr">
        <is>
          <t>file</t>
        </is>
      </c>
      <c r="E90" t="n">
        <v>43800</v>
      </c>
      <c r="F90" t="inlineStr">
        <is>
          <t>hydraulic_pricelist</t>
        </is>
      </c>
      <c r="G90" t="n">
        <v>48518</v>
      </c>
      <c r="H90" t="n">
        <v>0</v>
      </c>
      <c r="I90" s="3" t="n">
        <v>43800</v>
      </c>
      <c r="J90">
        <f>IF(I90&gt;0,CEILING(I90*(1-Policy!$B$13/100),IF(I90&lt;10000,50,100)),"")</f>
        <v/>
      </c>
      <c r="K90">
        <f>IF(I90&gt;0,ROUNDUP(I90/Policy!$B$14*(1+Policy!$B$15/100),0),"")</f>
        <v/>
      </c>
      <c r="L90" t="n">
        <v>42</v>
      </c>
      <c r="M90" t="inlineStr">
        <is>
          <t>stroke 300 mm, Fs 287500 N</t>
        </is>
      </c>
    </row>
    <row r="91">
      <c r="A91" t="inlineStr">
        <is>
          <t>AKHG120150</t>
        </is>
      </c>
      <c r="B91" t="inlineStr">
        <is>
          <t>AKHG 120-150</t>
        </is>
      </c>
      <c r="C91" t="inlineStr">
        <is>
          <t>AKHG</t>
        </is>
      </c>
      <c r="D91" t="inlineStr">
        <is>
          <t>model</t>
        </is>
      </c>
      <c r="G91" s="6" t="n">
        <v>52785</v>
      </c>
      <c r="H91" t="n">
        <v>25</v>
      </c>
      <c r="I91" s="3" t="n">
        <v>54200</v>
      </c>
      <c r="J91">
        <f>IF(I91&gt;0,CEILING(I91*(1-Policy!$B$13/100),IF(I91&lt;10000,50,100)),"")</f>
        <v/>
      </c>
      <c r="K91">
        <f>IF(I91&gt;0,ROUNDUP(I91/Policy!$B$14*(1+Policy!$B$15/100),0),"")</f>
        <v/>
      </c>
      <c r="L91" t="n">
        <v>42</v>
      </c>
      <c r="M91" t="inlineStr">
        <is>
          <t>stroke 150 mm, Fs 583333 N · capped at the next larger priced model</t>
        </is>
      </c>
    </row>
    <row r="92">
      <c r="A92" t="inlineStr">
        <is>
          <t>AKHG150100</t>
        </is>
      </c>
      <c r="B92" t="inlineStr">
        <is>
          <t>AKHG 150-100</t>
        </is>
      </c>
      <c r="C92" t="inlineStr">
        <is>
          <t>AKHG</t>
        </is>
      </c>
      <c r="D92" t="inlineStr">
        <is>
          <t>model</t>
        </is>
      </c>
      <c r="G92" s="6" t="n">
        <v>60795</v>
      </c>
      <c r="H92" t="n">
        <v>25</v>
      </c>
      <c r="I92" s="3" t="n">
        <v>76000</v>
      </c>
      <c r="J92">
        <f>IF(I92&gt;0,CEILING(I92*(1-Policy!$B$13/100),IF(I92&lt;10000,50,100)),"")</f>
        <v/>
      </c>
      <c r="K92">
        <f>IF(I92&gt;0,ROUNDUP(I92/Policy!$B$14*(1+Policy!$B$15/100),0),"")</f>
        <v/>
      </c>
      <c r="L92" t="n">
        <v>42</v>
      </c>
      <c r="M92" t="inlineStr">
        <is>
          <t>stroke 100 mm, Fs 875000 N</t>
        </is>
      </c>
    </row>
    <row r="93">
      <c r="A93" t="inlineStr">
        <is>
          <t>AKHG180100</t>
        </is>
      </c>
      <c r="B93" t="inlineStr">
        <is>
          <t>AKHG 180-100</t>
        </is>
      </c>
      <c r="C93" t="inlineStr">
        <is>
          <t>AKHG</t>
        </is>
      </c>
      <c r="D93" t="inlineStr">
        <is>
          <t>model</t>
        </is>
      </c>
      <c r="G93" s="6" t="n">
        <v>68832</v>
      </c>
      <c r="H93" t="n">
        <v>25</v>
      </c>
      <c r="I93" s="3" t="n">
        <v>86100</v>
      </c>
      <c r="J93">
        <f>IF(I93&gt;0,CEILING(I93*(1-Policy!$B$13/100),IF(I93&lt;10000,50,100)),"")</f>
        <v/>
      </c>
      <c r="K93">
        <f>IF(I93&gt;0,ROUNDUP(I93/Policy!$B$14*(1+Policy!$B$15/100),0),"")</f>
        <v/>
      </c>
      <c r="L93" t="n">
        <v>42</v>
      </c>
      <c r="M93" t="inlineStr">
        <is>
          <t>stroke 100 mm, Fs 1e+06 N</t>
        </is>
      </c>
    </row>
    <row r="94">
      <c r="A94" t="inlineStr">
        <is>
          <t>AKHG100400</t>
        </is>
      </c>
      <c r="B94" t="inlineStr">
        <is>
          <t>AKHG 100-400</t>
        </is>
      </c>
      <c r="C94" t="inlineStr">
        <is>
          <t>AKHG</t>
        </is>
      </c>
      <c r="D94" t="inlineStr">
        <is>
          <t>file</t>
        </is>
      </c>
      <c r="E94" t="n">
        <v>47300</v>
      </c>
      <c r="F94" t="inlineStr">
        <is>
          <t>product_list:market</t>
        </is>
      </c>
      <c r="G94" t="n">
        <v>51374</v>
      </c>
      <c r="H94" t="n">
        <v>0</v>
      </c>
      <c r="I94" s="3" t="n">
        <v>47300</v>
      </c>
      <c r="J94">
        <f>IF(I94&gt;0,CEILING(I94*(1-Policy!$B$13/100),IF(I94&lt;10000,50,100)),"")</f>
        <v/>
      </c>
      <c r="K94">
        <f>IF(I94&gt;0,ROUNDUP(I94/Policy!$B$14*(1+Policy!$B$15/100),0),"")</f>
        <v/>
      </c>
      <c r="L94" t="n">
        <v>42</v>
      </c>
      <c r="M94" t="inlineStr">
        <is>
          <t>stroke 400 mm, Fs 281250 N</t>
        </is>
      </c>
    </row>
    <row r="95">
      <c r="A95" t="inlineStr">
        <is>
          <t>AKHG140150</t>
        </is>
      </c>
      <c r="B95" t="inlineStr">
        <is>
          <t>AKHG 140-150</t>
        </is>
      </c>
      <c r="C95" t="inlineStr">
        <is>
          <t>AKHG</t>
        </is>
      </c>
      <c r="D95" t="inlineStr">
        <is>
          <t>file</t>
        </is>
      </c>
      <c r="E95" t="n">
        <v>61200</v>
      </c>
      <c r="F95" t="inlineStr">
        <is>
          <t>product_list:b2b</t>
        </is>
      </c>
      <c r="G95" t="n">
        <v>64152</v>
      </c>
      <c r="H95" t="n">
        <v>0</v>
      </c>
      <c r="I95" s="3" t="n">
        <v>61200</v>
      </c>
      <c r="J95">
        <f>IF(I95&gt;0,CEILING(I95*(1-Policy!$B$13/100),IF(I95&lt;10000,50,100)),"")</f>
        <v/>
      </c>
      <c r="K95">
        <f>IF(I95&gt;0,ROUNDUP(I95/Policy!$B$14*(1+Policy!$B$15/100),0),"")</f>
        <v/>
      </c>
      <c r="L95" t="n">
        <v>42</v>
      </c>
      <c r="M95" t="inlineStr">
        <is>
          <t>stroke 150 mm, Fs 758333 N</t>
        </is>
      </c>
    </row>
    <row r="96">
      <c r="A96" t="inlineStr">
        <is>
          <t>AKHG120200</t>
        </is>
      </c>
      <c r="B96" t="inlineStr">
        <is>
          <t>AKHG 120-200</t>
        </is>
      </c>
      <c r="C96" t="inlineStr">
        <is>
          <t>AKHG</t>
        </is>
      </c>
      <c r="D96" t="inlineStr">
        <is>
          <t>file</t>
        </is>
      </c>
      <c r="E96" t="n">
        <v>54200</v>
      </c>
      <c r="F96" t="inlineStr">
        <is>
          <t>product_list:market</t>
        </is>
      </c>
      <c r="G96" t="n">
        <v>56113</v>
      </c>
      <c r="H96" t="n">
        <v>0</v>
      </c>
      <c r="I96" s="3" t="n">
        <v>54200</v>
      </c>
      <c r="J96">
        <f>IF(I96&gt;0,CEILING(I96*(1-Policy!$B$13/100),IF(I96&lt;10000,50,100)),"")</f>
        <v/>
      </c>
      <c r="K96">
        <f>IF(I96&gt;0,ROUNDUP(I96/Policy!$B$14*(1+Policy!$B$15/100),0),"")</f>
        <v/>
      </c>
      <c r="L96" t="n">
        <v>42</v>
      </c>
      <c r="M96" t="inlineStr">
        <is>
          <t>stroke 200 mm, Fs 575000 N</t>
        </is>
      </c>
    </row>
    <row r="97">
      <c r="A97" t="inlineStr">
        <is>
          <t>AKHG100500</t>
        </is>
      </c>
      <c r="B97" t="inlineStr">
        <is>
          <t>AKHG 100-500</t>
        </is>
      </c>
      <c r="C97" t="inlineStr">
        <is>
          <t>AKHG</t>
        </is>
      </c>
      <c r="D97" t="inlineStr">
        <is>
          <t>file</t>
        </is>
      </c>
      <c r="E97" t="n">
        <v>50000</v>
      </c>
      <c r="F97" t="inlineStr">
        <is>
          <t>product_list:b2b</t>
        </is>
      </c>
      <c r="G97" t="n">
        <v>53552</v>
      </c>
      <c r="H97" t="n">
        <v>0</v>
      </c>
      <c r="I97" s="3" t="n">
        <v>50000</v>
      </c>
      <c r="J97">
        <f>IF(I97&gt;0,CEILING(I97*(1-Policy!$B$13/100),IF(I97&lt;10000,50,100)),"")</f>
        <v/>
      </c>
      <c r="K97">
        <f>IF(I97&gt;0,ROUNDUP(I97/Policy!$B$14*(1+Policy!$B$15/100),0),"")</f>
        <v/>
      </c>
      <c r="L97" t="n">
        <v>42</v>
      </c>
      <c r="M97" t="inlineStr">
        <is>
          <t>stroke 500 mm, Fs 275000 N</t>
        </is>
      </c>
    </row>
    <row r="98">
      <c r="A98" t="inlineStr">
        <is>
          <t>AKHG120250</t>
        </is>
      </c>
      <c r="B98" t="inlineStr">
        <is>
          <t>AKHG 120-250</t>
        </is>
      </c>
      <c r="C98" t="inlineStr">
        <is>
          <t>AKHG</t>
        </is>
      </c>
      <c r="D98" t="inlineStr">
        <is>
          <t>model</t>
        </is>
      </c>
      <c r="G98" s="6" t="n">
        <v>58913</v>
      </c>
      <c r="H98" t="n">
        <v>25</v>
      </c>
      <c r="I98" s="3" t="n">
        <v>54300</v>
      </c>
      <c r="J98">
        <f>IF(I98&gt;0,CEILING(I98*(1-Policy!$B$13/100),IF(I98&lt;10000,50,100)),"")</f>
        <v/>
      </c>
      <c r="K98">
        <f>IF(I98&gt;0,ROUNDUP(I98/Policy!$B$14*(1+Policy!$B$15/100),0),"")</f>
        <v/>
      </c>
      <c r="L98" t="n">
        <v>42</v>
      </c>
      <c r="M98" t="inlineStr">
        <is>
          <t>stroke 250 mm, Fs 570000 N · capped at the next larger priced model</t>
        </is>
      </c>
    </row>
    <row r="99">
      <c r="A99" t="inlineStr">
        <is>
          <t>AKHG130250</t>
        </is>
      </c>
      <c r="B99" t="inlineStr">
        <is>
          <t>AKHG 130-250</t>
        </is>
      </c>
      <c r="C99" t="inlineStr">
        <is>
          <t>AKHG</t>
        </is>
      </c>
      <c r="D99" t="inlineStr">
        <is>
          <t>model</t>
        </is>
      </c>
      <c r="G99" s="6" t="n">
        <v>69090</v>
      </c>
      <c r="H99" t="n">
        <v>25</v>
      </c>
      <c r="I99" s="3" t="n">
        <v>67200</v>
      </c>
      <c r="J99">
        <f>IF(I99&gt;0,CEILING(I99*(1-Policy!$B$13/100),IF(I99&lt;10000,50,100)),"")</f>
        <v/>
      </c>
      <c r="K99">
        <f>IF(I99&gt;0,ROUNDUP(I99/Policy!$B$14*(1+Policy!$B$15/100),0),"")</f>
        <v/>
      </c>
      <c r="L99" t="n">
        <v>42</v>
      </c>
      <c r="M99" t="inlineStr">
        <is>
          <t>stroke 250 mm, Fs 600000 N · capped at the next larger priced model</t>
        </is>
      </c>
    </row>
    <row r="100">
      <c r="A100" t="inlineStr">
        <is>
          <t>AKHG140200</t>
        </is>
      </c>
      <c r="B100" t="inlineStr">
        <is>
          <t>AKHG 140-200</t>
        </is>
      </c>
      <c r="C100" t="inlineStr">
        <is>
          <t>AKHG</t>
        </is>
      </c>
      <c r="D100" t="inlineStr">
        <is>
          <t>file</t>
        </is>
      </c>
      <c r="E100" t="n">
        <v>65800</v>
      </c>
      <c r="F100" t="inlineStr">
        <is>
          <t>akhg_pricelist</t>
        </is>
      </c>
      <c r="G100" t="n">
        <v>69494</v>
      </c>
      <c r="H100" t="n">
        <v>0</v>
      </c>
      <c r="I100" s="3" t="n">
        <v>65800</v>
      </c>
      <c r="J100">
        <f>IF(I100&gt;0,CEILING(I100*(1-Policy!$B$13/100),IF(I100&lt;10000,50,100)),"")</f>
        <v/>
      </c>
      <c r="K100">
        <f>IF(I100&gt;0,ROUNDUP(I100/Policy!$B$14*(1+Policy!$B$15/100),0),"")</f>
        <v/>
      </c>
      <c r="L100" t="n">
        <v>42</v>
      </c>
      <c r="M100" t="inlineStr">
        <is>
          <t>stroke 200 mm, Fs 775000 N</t>
        </is>
      </c>
    </row>
    <row r="101">
      <c r="A101" t="inlineStr">
        <is>
          <t>AKHG100600</t>
        </is>
      </c>
      <c r="B101" t="inlineStr">
        <is>
          <t>AKHG 100-600</t>
        </is>
      </c>
      <c r="C101" t="inlineStr">
        <is>
          <t>AKHG</t>
        </is>
      </c>
      <c r="D101" t="inlineStr">
        <is>
          <t>file</t>
        </is>
      </c>
      <c r="E101" t="n">
        <v>52400</v>
      </c>
      <c r="F101" t="inlineStr">
        <is>
          <t>hydraulic_pricelist</t>
        </is>
      </c>
      <c r="G101" t="n">
        <v>54366</v>
      </c>
      <c r="H101" t="n">
        <v>0</v>
      </c>
      <c r="I101" s="3" t="n">
        <v>52400</v>
      </c>
      <c r="J101">
        <f>IF(I101&gt;0,CEILING(I101*(1-Policy!$B$13/100),IF(I101&lt;10000,50,100)),"")</f>
        <v/>
      </c>
      <c r="K101">
        <f>IF(I101&gt;0,ROUNDUP(I101/Policy!$B$14*(1+Policy!$B$15/100),0),"")</f>
        <v/>
      </c>
      <c r="L101" t="n">
        <v>42</v>
      </c>
      <c r="M101" t="inlineStr">
        <is>
          <t>stroke 600 mm, Fs 260417 N</t>
        </is>
      </c>
    </row>
    <row r="102">
      <c r="A102" t="inlineStr">
        <is>
          <t>AKHG120300</t>
        </is>
      </c>
      <c r="B102" t="inlineStr">
        <is>
          <t>AKHG 120-300</t>
        </is>
      </c>
      <c r="C102" t="inlineStr">
        <is>
          <t>AKHG</t>
        </is>
      </c>
      <c r="D102" t="inlineStr">
        <is>
          <t>file</t>
        </is>
      </c>
      <c r="E102" t="n">
        <v>54300</v>
      </c>
      <c r="F102" t="inlineStr">
        <is>
          <t>akhg_pricelist</t>
        </is>
      </c>
      <c r="G102" t="n">
        <v>59918</v>
      </c>
      <c r="H102" t="n">
        <v>0</v>
      </c>
      <c r="I102" s="3" t="n">
        <v>54300</v>
      </c>
      <c r="J102">
        <f>IF(I102&gt;0,CEILING(I102*(1-Policy!$B$13/100),IF(I102&lt;10000,50,100)),"")</f>
        <v/>
      </c>
      <c r="K102">
        <f>IF(I102&gt;0,ROUNDUP(I102/Policy!$B$14*(1+Policy!$B$15/100),0),"")</f>
        <v/>
      </c>
      <c r="L102" t="n">
        <v>42</v>
      </c>
      <c r="M102" t="inlineStr">
        <is>
          <t>stroke 300 mm, Fs 541667 N</t>
        </is>
      </c>
    </row>
    <row r="103">
      <c r="A103" t="inlineStr">
        <is>
          <t>AKHG150200</t>
        </is>
      </c>
      <c r="B103" t="inlineStr">
        <is>
          <t>AKHG 150-200</t>
        </is>
      </c>
      <c r="C103" t="inlineStr">
        <is>
          <t>AKHG</t>
        </is>
      </c>
      <c r="D103" t="inlineStr">
        <is>
          <t>model</t>
        </is>
      </c>
      <c r="G103" s="6" t="n">
        <v>70653</v>
      </c>
      <c r="H103" t="n">
        <v>25</v>
      </c>
      <c r="I103" s="3" t="n">
        <v>78600</v>
      </c>
      <c r="J103">
        <f>IF(I103&gt;0,CEILING(I103*(1-Policy!$B$13/100),IF(I103&lt;10000,50,100)),"")</f>
        <v/>
      </c>
      <c r="K103">
        <f>IF(I103&gt;0,ROUNDUP(I103/Policy!$B$14*(1+Policy!$B$15/100),0),"")</f>
        <v/>
      </c>
      <c r="L103" t="n">
        <v>42</v>
      </c>
      <c r="M103" t="inlineStr">
        <is>
          <t>stroke 200 mm, Fs 850000 N · capped at the next larger priced model</t>
        </is>
      </c>
    </row>
    <row r="104">
      <c r="A104" t="inlineStr">
        <is>
          <t>AKHG100800</t>
        </is>
      </c>
      <c r="B104" t="inlineStr">
        <is>
          <t>AKHG 100-800</t>
        </is>
      </c>
      <c r="C104" t="inlineStr">
        <is>
          <t>AKHG</t>
        </is>
      </c>
      <c r="D104" t="inlineStr">
        <is>
          <t>file</t>
        </is>
      </c>
      <c r="E104" t="n">
        <v>57300</v>
      </c>
      <c r="F104" t="inlineStr">
        <is>
          <t>product_list:market</t>
        </is>
      </c>
      <c r="G104" t="n">
        <v>53167</v>
      </c>
      <c r="H104" t="n">
        <v>0</v>
      </c>
      <c r="I104" s="3" t="n">
        <v>57300</v>
      </c>
      <c r="J104">
        <f>IF(I104&gt;0,CEILING(I104*(1-Policy!$B$13/100),IF(I104&lt;10000,50,100)),"")</f>
        <v/>
      </c>
      <c r="K104">
        <f>IF(I104&gt;0,ROUNDUP(I104/Policy!$B$14*(1+Policy!$B$15/100),0),"")</f>
        <v/>
      </c>
      <c r="L104" t="n">
        <v>42</v>
      </c>
      <c r="M104" t="inlineStr">
        <is>
          <t>stroke 800 mm, Fs 218750 N</t>
        </is>
      </c>
    </row>
    <row r="105">
      <c r="A105" t="inlineStr">
        <is>
          <t>AKHG130300</t>
        </is>
      </c>
      <c r="B105" t="inlineStr">
        <is>
          <t>AKHG 130-300</t>
        </is>
      </c>
      <c r="C105" t="inlineStr">
        <is>
          <t>AKHG</t>
        </is>
      </c>
      <c r="D105" t="inlineStr">
        <is>
          <t>file</t>
        </is>
      </c>
      <c r="E105" t="n">
        <v>67200</v>
      </c>
      <c r="F105" t="inlineStr">
        <is>
          <t>akhg_pricelist</t>
        </is>
      </c>
      <c r="G105" t="n">
        <v>71110</v>
      </c>
      <c r="H105" t="n">
        <v>0</v>
      </c>
      <c r="I105" s="3" t="n">
        <v>67200</v>
      </c>
      <c r="J105">
        <f>IF(I105&gt;0,CEILING(I105*(1-Policy!$B$13/100),IF(I105&lt;10000,50,100)),"")</f>
        <v/>
      </c>
      <c r="K105">
        <f>IF(I105&gt;0,ROUNDUP(I105/Policy!$B$14*(1+Policy!$B$15/100),0),"")</f>
        <v/>
      </c>
      <c r="L105" t="n">
        <v>42</v>
      </c>
      <c r="M105" t="inlineStr">
        <is>
          <t>stroke 300 mm, Fs 583333 N</t>
        </is>
      </c>
    </row>
    <row r="106">
      <c r="A106" t="inlineStr">
        <is>
          <t>AKHG120400</t>
        </is>
      </c>
      <c r="B106" t="inlineStr">
        <is>
          <t>AKHG 120-400</t>
        </is>
      </c>
      <c r="C106" t="inlineStr">
        <is>
          <t>AKHG</t>
        </is>
      </c>
      <c r="D106" t="inlineStr">
        <is>
          <t>file</t>
        </is>
      </c>
      <c r="E106" t="n">
        <v>56700</v>
      </c>
      <c r="F106" t="inlineStr">
        <is>
          <t>product_list:b2b</t>
        </is>
      </c>
      <c r="G106" t="n">
        <v>61551</v>
      </c>
      <c r="H106" t="n">
        <v>0</v>
      </c>
      <c r="I106" s="3" t="n">
        <v>56700</v>
      </c>
      <c r="J106">
        <f>IF(I106&gt;0,CEILING(I106*(1-Policy!$B$13/100),IF(I106&lt;10000,50,100)),"")</f>
        <v/>
      </c>
      <c r="K106">
        <f>IF(I106&gt;0,ROUNDUP(I106/Policy!$B$14*(1+Policy!$B$15/100),0),"")</f>
        <v/>
      </c>
      <c r="L106" t="n">
        <v>42</v>
      </c>
      <c r="M106" t="inlineStr">
        <is>
          <t>stroke 400 mm, Fs 500000 N</t>
        </is>
      </c>
    </row>
    <row r="107">
      <c r="A107" t="inlineStr">
        <is>
          <t>AKHG180200</t>
        </is>
      </c>
      <c r="B107" t="inlineStr">
        <is>
          <t>AKHG 180-200</t>
        </is>
      </c>
      <c r="C107" t="inlineStr">
        <is>
          <t>AKHG</t>
        </is>
      </c>
      <c r="D107" t="inlineStr">
        <is>
          <t>model</t>
        </is>
      </c>
      <c r="G107" s="6" t="n">
        <v>81211</v>
      </c>
      <c r="H107" t="n">
        <v>25</v>
      </c>
      <c r="I107" s="3" t="n">
        <v>101600</v>
      </c>
      <c r="J107">
        <f>IF(I107&gt;0,CEILING(I107*(1-Policy!$B$13/100),IF(I107&lt;10000,50,100)),"")</f>
        <v/>
      </c>
      <c r="K107">
        <f>IF(I107&gt;0,ROUNDUP(I107/Policy!$B$14*(1+Policy!$B$15/100),0),"")</f>
        <v/>
      </c>
      <c r="L107" t="n">
        <v>42</v>
      </c>
      <c r="M107" t="inlineStr">
        <is>
          <t>stroke 200 mm, Fs 1e+06 N</t>
        </is>
      </c>
    </row>
    <row r="108">
      <c r="A108" t="inlineStr">
        <is>
          <t>AKHG140300</t>
        </is>
      </c>
      <c r="B108" t="inlineStr">
        <is>
          <t>AKHG 140-300</t>
        </is>
      </c>
      <c r="C108" t="inlineStr">
        <is>
          <t>AKHG</t>
        </is>
      </c>
      <c r="D108" t="inlineStr">
        <is>
          <t>file</t>
        </is>
      </c>
      <c r="E108" t="n">
        <v>72100</v>
      </c>
      <c r="F108" t="inlineStr">
        <is>
          <t>akhg_pricelist</t>
        </is>
      </c>
      <c r="G108" t="n">
        <v>74157</v>
      </c>
      <c r="H108" t="n">
        <v>0</v>
      </c>
      <c r="I108" s="3" t="n">
        <v>72100</v>
      </c>
      <c r="J108">
        <f>IF(I108&gt;0,CEILING(I108*(1-Policy!$B$13/100),IF(I108&lt;10000,50,100)),"")</f>
        <v/>
      </c>
      <c r="K108">
        <f>IF(I108&gt;0,ROUNDUP(I108/Policy!$B$14*(1+Policy!$B$15/100),0),"")</f>
        <v/>
      </c>
      <c r="L108" t="n">
        <v>42</v>
      </c>
      <c r="M108" t="inlineStr">
        <is>
          <t>stroke 300 mm, Fs 729167 N</t>
        </is>
      </c>
    </row>
    <row r="109">
      <c r="A109" t="inlineStr">
        <is>
          <t>AKHG120500</t>
        </is>
      </c>
      <c r="B109" t="inlineStr">
        <is>
          <t>AKHG 120-500</t>
        </is>
      </c>
      <c r="C109" t="inlineStr">
        <is>
          <t>AKHG</t>
        </is>
      </c>
      <c r="D109" t="inlineStr">
        <is>
          <t>file</t>
        </is>
      </c>
      <c r="E109" t="n">
        <v>59900</v>
      </c>
      <c r="F109" t="inlineStr">
        <is>
          <t>akhg_pricelist</t>
        </is>
      </c>
      <c r="G109" t="n">
        <v>61446</v>
      </c>
      <c r="H109" t="n">
        <v>0</v>
      </c>
      <c r="I109" s="3" t="n">
        <v>59900</v>
      </c>
      <c r="J109">
        <f>IF(I109&gt;0,CEILING(I109*(1-Policy!$B$13/100),IF(I109&lt;10000,50,100)),"")</f>
        <v/>
      </c>
      <c r="K109">
        <f>IF(I109&gt;0,ROUNDUP(I109/Policy!$B$14*(1+Policy!$B$15/100),0),"")</f>
        <v/>
      </c>
      <c r="L109" t="n">
        <v>42</v>
      </c>
      <c r="M109" t="inlineStr">
        <is>
          <t>stroke 500 mm, Fs 450000 N</t>
        </is>
      </c>
    </row>
    <row r="110">
      <c r="A110" t="inlineStr">
        <is>
          <t>AKHG130400</t>
        </is>
      </c>
      <c r="B110" t="inlineStr">
        <is>
          <t>AKHG 130-400</t>
        </is>
      </c>
      <c r="C110" t="inlineStr">
        <is>
          <t>AKHG</t>
        </is>
      </c>
      <c r="D110" t="inlineStr">
        <is>
          <t>file</t>
        </is>
      </c>
      <c r="E110" t="n">
        <v>73000</v>
      </c>
      <c r="F110" t="inlineStr">
        <is>
          <t>hydraulic_pricelist</t>
        </is>
      </c>
      <c r="G110" t="n">
        <v>74732</v>
      </c>
      <c r="H110" t="n">
        <v>0</v>
      </c>
      <c r="I110" s="3" t="n">
        <v>73000</v>
      </c>
      <c r="J110">
        <f>IF(I110&gt;0,CEILING(I110*(1-Policy!$B$13/100),IF(I110&lt;10000,50,100)),"")</f>
        <v/>
      </c>
      <c r="K110">
        <f>IF(I110&gt;0,ROUNDUP(I110/Policy!$B$14*(1+Policy!$B$15/100),0),"")</f>
        <v/>
      </c>
      <c r="L110" t="n">
        <v>42</v>
      </c>
      <c r="M110" t="inlineStr">
        <is>
          <t>stroke 400 mm, Fs 562500 N</t>
        </is>
      </c>
    </row>
    <row r="111">
      <c r="A111" t="inlineStr">
        <is>
          <t>AKHG150300</t>
        </is>
      </c>
      <c r="B111" t="inlineStr">
        <is>
          <t>AKHG 150-300</t>
        </is>
      </c>
      <c r="C111" t="inlineStr">
        <is>
          <t>AKHG</t>
        </is>
      </c>
      <c r="D111" t="inlineStr">
        <is>
          <t>model</t>
        </is>
      </c>
      <c r="G111" s="6" t="n">
        <v>73543</v>
      </c>
      <c r="H111" t="n">
        <v>25</v>
      </c>
      <c r="I111" s="3" t="n">
        <v>78600</v>
      </c>
      <c r="J111">
        <f>IF(I111&gt;0,CEILING(I111*(1-Policy!$B$13/100),IF(I111&lt;10000,50,100)),"")</f>
        <v/>
      </c>
      <c r="K111">
        <f>IF(I111&gt;0,ROUNDUP(I111/Policy!$B$14*(1+Policy!$B$15/100),0),"")</f>
        <v/>
      </c>
      <c r="L111" t="n">
        <v>42</v>
      </c>
      <c r="M111" t="inlineStr">
        <is>
          <t>stroke 300 mm, Fs 762500 N · capped at the next larger priced model</t>
        </is>
      </c>
    </row>
    <row r="112">
      <c r="A112" t="inlineStr">
        <is>
          <t>AKHG120600</t>
        </is>
      </c>
      <c r="B112" t="inlineStr">
        <is>
          <t>AKHG 120-600</t>
        </is>
      </c>
      <c r="C112" t="inlineStr">
        <is>
          <t>AKHG</t>
        </is>
      </c>
      <c r="D112" t="inlineStr">
        <is>
          <t>file</t>
        </is>
      </c>
      <c r="E112" t="n">
        <v>63800</v>
      </c>
      <c r="F112" t="inlineStr">
        <is>
          <t>product_list:b2b</t>
        </is>
      </c>
      <c r="G112" t="n">
        <v>61653</v>
      </c>
      <c r="H112" t="n">
        <v>0</v>
      </c>
      <c r="I112" s="3" t="n">
        <v>63800</v>
      </c>
      <c r="J112">
        <f>IF(I112&gt;0,CEILING(I112*(1-Policy!$B$13/100),IF(I112&lt;10000,50,100)),"")</f>
        <v/>
      </c>
      <c r="K112">
        <f>IF(I112&gt;0,ROUNDUP(I112/Policy!$B$14*(1+Policy!$B$15/100),0),"")</f>
        <v/>
      </c>
      <c r="L112" t="n">
        <v>42</v>
      </c>
      <c r="M112" t="inlineStr">
        <is>
          <t>stroke 600 mm, Fs 416667 N</t>
        </is>
      </c>
    </row>
    <row r="113">
      <c r="A113" t="inlineStr">
        <is>
          <t>AKHG180250</t>
        </is>
      </c>
      <c r="B113" t="inlineStr">
        <is>
          <t>AKHG 180-250</t>
        </is>
      </c>
      <c r="C113" t="inlineStr">
        <is>
          <t>AKHG</t>
        </is>
      </c>
      <c r="D113" t="inlineStr">
        <is>
          <t>model</t>
        </is>
      </c>
      <c r="G113" s="6" t="n">
        <v>85653</v>
      </c>
      <c r="H113" t="n">
        <v>25</v>
      </c>
      <c r="I113" s="3" t="n">
        <v>107100</v>
      </c>
      <c r="J113">
        <f>IF(I113&gt;0,CEILING(I113*(1-Policy!$B$13/100),IF(I113&lt;10000,50,100)),"")</f>
        <v/>
      </c>
      <c r="K113">
        <f>IF(I113&gt;0,ROUNDUP(I113/Policy!$B$14*(1+Policy!$B$15/100),0),"")</f>
        <v/>
      </c>
      <c r="L113" t="n">
        <v>42</v>
      </c>
      <c r="M113" t="inlineStr">
        <is>
          <t>stroke 250 mm, Fs 1e+06 N</t>
        </is>
      </c>
    </row>
    <row r="114">
      <c r="A114" t="inlineStr">
        <is>
          <t>AKHG130500</t>
        </is>
      </c>
      <c r="B114" t="inlineStr">
        <is>
          <t>AKHG 130-500</t>
        </is>
      </c>
      <c r="C114" t="inlineStr">
        <is>
          <t>AKHG</t>
        </is>
      </c>
      <c r="D114" t="inlineStr">
        <is>
          <t>file</t>
        </is>
      </c>
      <c r="E114" t="n">
        <v>77900</v>
      </c>
      <c r="F114" t="inlineStr">
        <is>
          <t>akhg_pricelist</t>
        </is>
      </c>
      <c r="G114" t="n">
        <v>77900</v>
      </c>
      <c r="H114" t="n">
        <v>0</v>
      </c>
      <c r="I114" s="3" t="n">
        <v>77900</v>
      </c>
      <c r="J114">
        <f>IF(I114&gt;0,CEILING(I114*(1-Policy!$B$13/100),IF(I114&lt;10000,50,100)),"")</f>
        <v/>
      </c>
      <c r="K114">
        <f>IF(I114&gt;0,ROUNDUP(I114/Policy!$B$14*(1+Policy!$B$15/100),0),"")</f>
        <v/>
      </c>
      <c r="L114" t="n">
        <v>42</v>
      </c>
      <c r="M114" t="inlineStr">
        <is>
          <t>stroke 500 mm, Fs 550000 N</t>
        </is>
      </c>
    </row>
    <row r="115">
      <c r="A115" t="inlineStr">
        <is>
          <t>AKHG140400</t>
        </is>
      </c>
      <c r="B115" t="inlineStr">
        <is>
          <t>AKHG 140-400</t>
        </is>
      </c>
      <c r="C115" t="inlineStr">
        <is>
          <t>AKHG</t>
        </is>
      </c>
      <c r="D115" t="inlineStr">
        <is>
          <t>file</t>
        </is>
      </c>
      <c r="E115" t="n">
        <v>78600</v>
      </c>
      <c r="F115" t="inlineStr">
        <is>
          <t>akhg_pricelist</t>
        </is>
      </c>
      <c r="G115" t="n">
        <v>79545</v>
      </c>
      <c r="H115" t="n">
        <v>0</v>
      </c>
      <c r="I115" s="3" t="n">
        <v>78600</v>
      </c>
      <c r="J115">
        <f>IF(I115&gt;0,CEILING(I115*(1-Policy!$B$13/100),IF(I115&lt;10000,50,100)),"")</f>
        <v/>
      </c>
      <c r="K115">
        <f>IF(I115&gt;0,ROUNDUP(I115/Policy!$B$14*(1+Policy!$B$15/100),0),"")</f>
        <v/>
      </c>
      <c r="L115" t="n">
        <v>42</v>
      </c>
      <c r="M115" t="inlineStr">
        <is>
          <t>stroke 400 mm, Fs 731250 N</t>
        </is>
      </c>
    </row>
    <row r="116">
      <c r="A116" t="inlineStr">
        <is>
          <t>AKHG120800</t>
        </is>
      </c>
      <c r="B116" t="inlineStr">
        <is>
          <t>AKHG 120-800</t>
        </is>
      </c>
      <c r="C116" t="inlineStr">
        <is>
          <t>AKHG</t>
        </is>
      </c>
      <c r="D116" t="inlineStr">
        <is>
          <t>file</t>
        </is>
      </c>
      <c r="E116" t="n">
        <v>69400</v>
      </c>
      <c r="F116" t="inlineStr">
        <is>
          <t>product_list:market</t>
        </is>
      </c>
      <c r="G116" t="n">
        <v>62503</v>
      </c>
      <c r="H116" t="n">
        <v>0</v>
      </c>
      <c r="I116" s="3" t="n">
        <v>69400</v>
      </c>
      <c r="J116">
        <f>IF(I116&gt;0,CEILING(I116*(1-Policy!$B$13/100),IF(I116&lt;10000,50,100)),"")</f>
        <v/>
      </c>
      <c r="K116">
        <f>IF(I116&gt;0,ROUNDUP(I116/Policy!$B$14*(1+Policy!$B$15/100),0),"")</f>
        <v/>
      </c>
      <c r="L116" t="n">
        <v>42</v>
      </c>
      <c r="M116" t="inlineStr">
        <is>
          <t>stroke 800 mm, Fs 375000 N</t>
        </is>
      </c>
    </row>
    <row r="117">
      <c r="A117" t="inlineStr">
        <is>
          <t>AKHG150400</t>
        </is>
      </c>
      <c r="B117" t="inlineStr">
        <is>
          <t>AKHG 150-400</t>
        </is>
      </c>
      <c r="C117" t="inlineStr">
        <is>
          <t>AKHG</t>
        </is>
      </c>
      <c r="D117" t="inlineStr">
        <is>
          <t>file</t>
        </is>
      </c>
      <c r="E117" t="n">
        <v>78600</v>
      </c>
      <c r="F117" t="inlineStr">
        <is>
          <t>product_list:b2b</t>
        </is>
      </c>
      <c r="G117" t="n">
        <v>78600</v>
      </c>
      <c r="H117" t="n">
        <v>0</v>
      </c>
      <c r="I117" s="3" t="n">
        <v>78600</v>
      </c>
      <c r="J117">
        <f>IF(I117&gt;0,CEILING(I117*(1-Policy!$B$13/100),IF(I117&lt;10000,50,100)),"")</f>
        <v/>
      </c>
      <c r="K117">
        <f>IF(I117&gt;0,ROUNDUP(I117/Policy!$B$14*(1+Policy!$B$15/100),0),"")</f>
        <v/>
      </c>
      <c r="L117" t="n">
        <v>42</v>
      </c>
      <c r="M117" t="inlineStr">
        <is>
          <t>stroke 400 mm, Fs 759375 N</t>
        </is>
      </c>
    </row>
    <row r="118">
      <c r="A118" t="inlineStr">
        <is>
          <t>AKHG130600</t>
        </is>
      </c>
      <c r="B118" t="inlineStr">
        <is>
          <t>AKHG 130-600</t>
        </is>
      </c>
      <c r="C118" t="inlineStr">
        <is>
          <t>AKHG</t>
        </is>
      </c>
      <c r="D118" t="inlineStr">
        <is>
          <t>file</t>
        </is>
      </c>
      <c r="E118" t="n">
        <v>81200</v>
      </c>
      <c r="F118" t="inlineStr">
        <is>
          <t>product_list:b2b</t>
        </is>
      </c>
      <c r="G118" t="n">
        <v>80718</v>
      </c>
      <c r="H118" t="n">
        <v>0</v>
      </c>
      <c r="I118" s="3" t="n">
        <v>81200</v>
      </c>
      <c r="J118">
        <f>IF(I118&gt;0,CEILING(I118*(1-Policy!$B$13/100),IF(I118&lt;10000,50,100)),"")</f>
        <v/>
      </c>
      <c r="K118">
        <f>IF(I118&gt;0,ROUNDUP(I118/Policy!$B$14*(1+Policy!$B$15/100),0),"")</f>
        <v/>
      </c>
      <c r="L118" t="n">
        <v>42</v>
      </c>
      <c r="M118" t="inlineStr">
        <is>
          <t>stroke 600 mm, Fs 541667 N</t>
        </is>
      </c>
    </row>
    <row r="119">
      <c r="A119" t="inlineStr">
        <is>
          <t>AKHG140500</t>
        </is>
      </c>
      <c r="B119" t="inlineStr">
        <is>
          <t>AKHG 140-500</t>
        </is>
      </c>
      <c r="C119" t="inlineStr">
        <is>
          <t>AKHG</t>
        </is>
      </c>
      <c r="D119" t="inlineStr">
        <is>
          <t>file</t>
        </is>
      </c>
      <c r="E119" t="n">
        <v>84200</v>
      </c>
      <c r="F119" t="inlineStr">
        <is>
          <t>product_list:market</t>
        </is>
      </c>
      <c r="G119" t="n">
        <v>80464</v>
      </c>
      <c r="H119" t="n">
        <v>0</v>
      </c>
      <c r="I119" s="3" t="n">
        <v>84200</v>
      </c>
      <c r="J119">
        <f>IF(I119&gt;0,CEILING(I119*(1-Policy!$B$13/100),IF(I119&lt;10000,50,100)),"")</f>
        <v/>
      </c>
      <c r="K119">
        <f>IF(I119&gt;0,ROUNDUP(I119/Policy!$B$14*(1+Policy!$B$15/100),0),"")</f>
        <v/>
      </c>
      <c r="L119" t="n">
        <v>42</v>
      </c>
      <c r="M119" t="inlineStr">
        <is>
          <t>stroke 500 mm, Fs 675000 N</t>
        </is>
      </c>
    </row>
    <row r="120">
      <c r="A120" t="inlineStr">
        <is>
          <t>AKHG1201000</t>
        </is>
      </c>
      <c r="B120" t="inlineStr">
        <is>
          <t>AKHG 120-1000</t>
        </is>
      </c>
      <c r="C120" t="inlineStr">
        <is>
          <t>AKHG</t>
        </is>
      </c>
      <c r="D120" t="inlineStr">
        <is>
          <t>file</t>
        </is>
      </c>
      <c r="E120" t="n">
        <v>75300</v>
      </c>
      <c r="F120" t="inlineStr">
        <is>
          <t>hydraulic_pricelist</t>
        </is>
      </c>
      <c r="G120" t="n">
        <v>63591</v>
      </c>
      <c r="H120" t="n">
        <v>0</v>
      </c>
      <c r="I120" s="3" t="n">
        <v>75300</v>
      </c>
      <c r="J120">
        <f>IF(I120&gt;0,CEILING(I120*(1-Policy!$B$13/100),IF(I120&lt;10000,50,100)),"")</f>
        <v/>
      </c>
      <c r="K120">
        <f>IF(I120&gt;0,ROUNDUP(I120/Policy!$B$14*(1+Policy!$B$15/100),0),"")</f>
        <v/>
      </c>
      <c r="L120" t="n">
        <v>42</v>
      </c>
      <c r="M120" t="inlineStr">
        <is>
          <t>stroke 1000 mm, Fs 350000 N</t>
        </is>
      </c>
    </row>
    <row r="121">
      <c r="A121" t="inlineStr">
        <is>
          <t>AKHG180400</t>
        </is>
      </c>
      <c r="B121" t="inlineStr">
        <is>
          <t>AKHG 180-400</t>
        </is>
      </c>
      <c r="C121" t="inlineStr">
        <is>
          <t>AKHG</t>
        </is>
      </c>
      <c r="D121" t="inlineStr">
        <is>
          <t>model</t>
        </is>
      </c>
      <c r="G121" s="6" t="n">
        <v>89371</v>
      </c>
      <c r="H121" t="n">
        <v>25</v>
      </c>
      <c r="I121" s="3" t="n">
        <v>111800</v>
      </c>
      <c r="J121">
        <f>IF(I121&gt;0,CEILING(I121*(1-Policy!$B$13/100),IF(I121&lt;10000,50,100)),"")</f>
        <v/>
      </c>
      <c r="K121">
        <f>IF(I121&gt;0,ROUNDUP(I121/Policy!$B$14*(1+Policy!$B$15/100),0),"")</f>
        <v/>
      </c>
      <c r="L121" t="n">
        <v>42</v>
      </c>
      <c r="M121" t="inlineStr">
        <is>
          <t>stroke 400 mm, Fs 875000 N</t>
        </is>
      </c>
    </row>
    <row r="122">
      <c r="A122" t="inlineStr">
        <is>
          <t>AKHG150500</t>
        </is>
      </c>
      <c r="B122" t="inlineStr">
        <is>
          <t>AKHG 150-500</t>
        </is>
      </c>
      <c r="C122" t="inlineStr">
        <is>
          <t>AKHG</t>
        </is>
      </c>
      <c r="D122" t="inlineStr">
        <is>
          <t>model</t>
        </is>
      </c>
      <c r="G122" s="6" t="n">
        <v>80189</v>
      </c>
      <c r="H122" t="n">
        <v>25</v>
      </c>
      <c r="I122" s="3" t="n">
        <v>100300</v>
      </c>
      <c r="J122">
        <f>IF(I122&gt;0,CEILING(I122*(1-Policy!$B$13/100),IF(I122&lt;10000,50,100)),"")</f>
        <v/>
      </c>
      <c r="K122">
        <f>IF(I122&gt;0,ROUNDUP(I122/Policy!$B$14*(1+Policy!$B$15/100),0),"")</f>
        <v/>
      </c>
      <c r="L122" t="n">
        <v>42</v>
      </c>
      <c r="M122" t="inlineStr">
        <is>
          <t>stroke 500 mm, Fs 712500 N</t>
        </is>
      </c>
    </row>
    <row r="123">
      <c r="A123" t="inlineStr">
        <is>
          <t>AKHG130800</t>
        </is>
      </c>
      <c r="B123" t="inlineStr">
        <is>
          <t>AKHG 130-800</t>
        </is>
      </c>
      <c r="C123" t="inlineStr">
        <is>
          <t>AKHG</t>
        </is>
      </c>
      <c r="D123" t="inlineStr">
        <is>
          <t>file</t>
        </is>
      </c>
      <c r="E123" t="n">
        <v>95300</v>
      </c>
      <c r="F123" t="inlineStr">
        <is>
          <t>akhg_pricelist</t>
        </is>
      </c>
      <c r="G123" t="n">
        <v>80174</v>
      </c>
      <c r="H123" t="n">
        <v>0</v>
      </c>
      <c r="I123" s="3" t="n">
        <v>95300</v>
      </c>
      <c r="J123">
        <f>IF(I123&gt;0,CEILING(I123*(1-Policy!$B$13/100),IF(I123&lt;10000,50,100)),"")</f>
        <v/>
      </c>
      <c r="K123">
        <f>IF(I123&gt;0,ROUNDUP(I123/Policy!$B$14*(1+Policy!$B$15/100),0),"")</f>
        <v/>
      </c>
      <c r="L123" t="n">
        <v>42</v>
      </c>
      <c r="M123" t="inlineStr">
        <is>
          <t>stroke 800 mm, Fs 468750 N</t>
        </is>
      </c>
    </row>
    <row r="124">
      <c r="A124" t="inlineStr">
        <is>
          <t>AKHG140600</t>
        </is>
      </c>
      <c r="B124" t="inlineStr">
        <is>
          <t>AKHG 140-600</t>
        </is>
      </c>
      <c r="C124" t="inlineStr">
        <is>
          <t>AKHG</t>
        </is>
      </c>
      <c r="D124" t="inlineStr">
        <is>
          <t>file</t>
        </is>
      </c>
      <c r="E124" t="n">
        <v>90000</v>
      </c>
      <c r="F124" t="inlineStr">
        <is>
          <t>hydraulic_pricelist</t>
        </is>
      </c>
      <c r="G124" t="n">
        <v>80735</v>
      </c>
      <c r="H124" t="n">
        <v>0</v>
      </c>
      <c r="I124" s="3" t="n">
        <v>90000</v>
      </c>
      <c r="J124">
        <f>IF(I124&gt;0,CEILING(I124*(1-Policy!$B$13/100),IF(I124&lt;10000,50,100)),"")</f>
        <v/>
      </c>
      <c r="K124">
        <f>IF(I124&gt;0,ROUNDUP(I124/Policy!$B$14*(1+Policy!$B$15/100),0),"")</f>
        <v/>
      </c>
      <c r="L124" t="n">
        <v>42</v>
      </c>
      <c r="M124" t="inlineStr">
        <is>
          <t>stroke 600 mm, Fs 625000 N</t>
        </is>
      </c>
    </row>
    <row r="125">
      <c r="A125" t="inlineStr">
        <is>
          <t>AKHG150600</t>
        </is>
      </c>
      <c r="B125" t="inlineStr">
        <is>
          <t>AKHG 150-600</t>
        </is>
      </c>
      <c r="C125" t="inlineStr">
        <is>
          <t>AKHG</t>
        </is>
      </c>
      <c r="D125" t="inlineStr">
        <is>
          <t>model</t>
        </is>
      </c>
      <c r="G125" s="6" t="n">
        <v>81294</v>
      </c>
      <c r="H125" t="n">
        <v>25</v>
      </c>
      <c r="I125" s="3" t="n">
        <v>101700</v>
      </c>
      <c r="J125">
        <f>IF(I125&gt;0,CEILING(I125*(1-Policy!$B$13/100),IF(I125&lt;10000,50,100)),"")</f>
        <v/>
      </c>
      <c r="K125">
        <f>IF(I125&gt;0,ROUNDUP(I125/Policy!$B$14*(1+Policy!$B$15/100),0),"")</f>
        <v/>
      </c>
      <c r="L125" t="n">
        <v>42</v>
      </c>
      <c r="M125" t="inlineStr">
        <is>
          <t>stroke 600 mm, Fs 672917 N</t>
        </is>
      </c>
    </row>
    <row r="126">
      <c r="A126" t="inlineStr">
        <is>
          <t>AKHG140800</t>
        </is>
      </c>
      <c r="B126" t="inlineStr">
        <is>
          <t>AKHG 140-800</t>
        </is>
      </c>
      <c r="C126" t="inlineStr">
        <is>
          <t>AKHG</t>
        </is>
      </c>
      <c r="D126" t="inlineStr">
        <is>
          <t>file</t>
        </is>
      </c>
      <c r="E126" t="n">
        <v>97800</v>
      </c>
      <c r="F126" t="inlineStr">
        <is>
          <t>hydraulic_pricelist</t>
        </is>
      </c>
      <c r="G126" t="n">
        <v>77596</v>
      </c>
      <c r="H126" t="n">
        <v>0</v>
      </c>
      <c r="I126" s="3" t="n">
        <v>97800</v>
      </c>
      <c r="J126">
        <f>IF(I126&gt;0,CEILING(I126*(1-Policy!$B$13/100),IF(I126&lt;10000,50,100)),"")</f>
        <v/>
      </c>
      <c r="K126">
        <f>IF(I126&gt;0,ROUNDUP(I126/Policy!$B$14*(1+Policy!$B$15/100),0),"")</f>
        <v/>
      </c>
      <c r="L126" t="n">
        <v>42</v>
      </c>
      <c r="M126" t="inlineStr">
        <is>
          <t>stroke 800 mm, Fs 507812 N</t>
        </is>
      </c>
    </row>
    <row r="127">
      <c r="A127" t="inlineStr">
        <is>
          <t>AKHG180500</t>
        </is>
      </c>
      <c r="B127" t="inlineStr">
        <is>
          <t>AKHG 180-500</t>
        </is>
      </c>
      <c r="C127" t="inlineStr">
        <is>
          <t>AKHG</t>
        </is>
      </c>
      <c r="D127" t="inlineStr">
        <is>
          <t>model</t>
        </is>
      </c>
      <c r="G127" s="6" t="n">
        <v>94259</v>
      </c>
      <c r="H127" t="n">
        <v>25</v>
      </c>
      <c r="I127" s="3" t="n">
        <v>117900</v>
      </c>
      <c r="J127">
        <f>IF(I127&gt;0,CEILING(I127*(1-Policy!$B$13/100),IF(I127&lt;10000,50,100)),"")</f>
        <v/>
      </c>
      <c r="K127">
        <f>IF(I127&gt;0,ROUNDUP(I127/Policy!$B$14*(1+Policy!$B$15/100),0),"")</f>
        <v/>
      </c>
      <c r="L127" t="n">
        <v>42</v>
      </c>
      <c r="M127" t="inlineStr">
        <is>
          <t>stroke 500 mm, Fs 875000 N</t>
        </is>
      </c>
    </row>
    <row r="128">
      <c r="A128" t="inlineStr">
        <is>
          <t>AKHG1401000</t>
        </is>
      </c>
      <c r="B128" t="inlineStr">
        <is>
          <t>AKHG 140-1000</t>
        </is>
      </c>
      <c r="C128" t="inlineStr">
        <is>
          <t>AKHG</t>
        </is>
      </c>
      <c r="D128" t="inlineStr">
        <is>
          <t>file</t>
        </is>
      </c>
      <c r="E128" t="n">
        <v>109100</v>
      </c>
      <c r="F128" t="inlineStr">
        <is>
          <t>akhg_pricelist</t>
        </is>
      </c>
      <c r="G128" t="n">
        <v>76840</v>
      </c>
      <c r="H128" t="n">
        <v>0</v>
      </c>
      <c r="I128" s="3" t="n">
        <v>109100</v>
      </c>
      <c r="J128">
        <f>IF(I128&gt;0,CEILING(I128*(1-Policy!$B$13/100),IF(I128&lt;10000,50,100)),"")</f>
        <v/>
      </c>
      <c r="K128">
        <f>IF(I128&gt;0,ROUNDUP(I128/Policy!$B$14*(1+Policy!$B$15/100),0),"")</f>
        <v/>
      </c>
      <c r="L128" t="n">
        <v>42</v>
      </c>
      <c r="M128" t="inlineStr">
        <is>
          <t>stroke 1000 mm, Fs 450000 N</t>
        </is>
      </c>
    </row>
    <row r="129">
      <c r="A129" t="inlineStr">
        <is>
          <t>AKHG150800</t>
        </is>
      </c>
      <c r="B129" t="inlineStr">
        <is>
          <t>AKHG 150-800</t>
        </is>
      </c>
      <c r="C129" t="inlineStr">
        <is>
          <t>AKHG</t>
        </is>
      </c>
      <c r="D129" t="inlineStr">
        <is>
          <t>model</t>
        </is>
      </c>
      <c r="G129" s="6" t="n">
        <v>80100</v>
      </c>
      <c r="H129" t="n">
        <v>25</v>
      </c>
      <c r="I129" s="3" t="n">
        <v>101700</v>
      </c>
      <c r="J129">
        <f>IF(I129&gt;0,CEILING(I129*(1-Policy!$B$13/100),IF(I129&lt;10000,50,100)),"")</f>
        <v/>
      </c>
      <c r="K129">
        <f>IF(I129&gt;0,ROUNDUP(I129/Policy!$B$14*(1+Policy!$B$15/100),0),"")</f>
        <v/>
      </c>
      <c r="L129" t="n">
        <v>42</v>
      </c>
      <c r="M129" t="inlineStr">
        <is>
          <t>stroke 800 mm, Fs 573438 N · raised to keep price rising with stroke</t>
        </is>
      </c>
    </row>
    <row r="130">
      <c r="A130" t="inlineStr">
        <is>
          <t>AKHG1501000</t>
        </is>
      </c>
      <c r="B130" t="inlineStr">
        <is>
          <t>AKHG 150-1000</t>
        </is>
      </c>
      <c r="C130" t="inlineStr">
        <is>
          <t>AKHG</t>
        </is>
      </c>
      <c r="D130" t="inlineStr">
        <is>
          <t>model</t>
        </is>
      </c>
      <c r="G130" s="6" t="n">
        <v>79673</v>
      </c>
      <c r="H130" t="n">
        <v>25</v>
      </c>
      <c r="I130" s="3" t="n">
        <v>101700</v>
      </c>
      <c r="J130">
        <f>IF(I130&gt;0,CEILING(I130*(1-Policy!$B$13/100),IF(I130&lt;10000,50,100)),"")</f>
        <v/>
      </c>
      <c r="K130">
        <f>IF(I130&gt;0,ROUNDUP(I130/Policy!$B$14*(1+Policy!$B$15/100),0),"")</f>
        <v/>
      </c>
      <c r="L130" t="n">
        <v>42</v>
      </c>
      <c r="M130" t="inlineStr">
        <is>
          <t>stroke 1000 mm, Fs 512500 N · raised to keep price rising with stroke</t>
        </is>
      </c>
    </row>
    <row r="131">
      <c r="A131" t="inlineStr">
        <is>
          <t>AKHG180600</t>
        </is>
      </c>
      <c r="B131" t="inlineStr">
        <is>
          <t>AKHG 180-600</t>
        </is>
      </c>
      <c r="C131" t="inlineStr">
        <is>
          <t>AKHG</t>
        </is>
      </c>
      <c r="D131" t="inlineStr">
        <is>
          <t>model</t>
        </is>
      </c>
      <c r="G131" s="6" t="n">
        <v>99666</v>
      </c>
      <c r="H131" t="n">
        <v>25</v>
      </c>
      <c r="I131" s="3" t="n">
        <v>124600</v>
      </c>
      <c r="J131">
        <f>IF(I131&gt;0,CEILING(I131*(1-Policy!$B$13/100),IF(I131&lt;10000,50,100)),"")</f>
        <v/>
      </c>
      <c r="K131">
        <f>IF(I131&gt;0,ROUNDUP(I131/Policy!$B$14*(1+Policy!$B$15/100),0),"")</f>
        <v/>
      </c>
      <c r="L131" t="n">
        <v>42</v>
      </c>
      <c r="M131" t="inlineStr">
        <is>
          <t>stroke 600 mm, Fs 895833 N</t>
        </is>
      </c>
    </row>
    <row r="132">
      <c r="A132" t="inlineStr">
        <is>
          <t>AKHG180800</t>
        </is>
      </c>
      <c r="B132" t="inlineStr">
        <is>
          <t>AKHG 180-800</t>
        </is>
      </c>
      <c r="C132" t="inlineStr">
        <is>
          <t>AKHG</t>
        </is>
      </c>
      <c r="D132" t="inlineStr">
        <is>
          <t>model</t>
        </is>
      </c>
      <c r="G132" s="6" t="n">
        <v>106423</v>
      </c>
      <c r="H132" t="n">
        <v>25</v>
      </c>
      <c r="I132" s="3" t="n">
        <v>133100</v>
      </c>
      <c r="J132">
        <f>IF(I132&gt;0,CEILING(I132*(1-Policy!$B$13/100),IF(I132&lt;10000,50,100)),"")</f>
        <v/>
      </c>
      <c r="K132">
        <f>IF(I132&gt;0,ROUNDUP(I132/Policy!$B$14*(1+Policy!$B$15/100),0),"")</f>
        <v/>
      </c>
      <c r="L132" t="n">
        <v>42</v>
      </c>
      <c r="M132" t="inlineStr">
        <is>
          <t>stroke 800 mm, Fs 890625 N</t>
        </is>
      </c>
    </row>
    <row r="133">
      <c r="A133" t="inlineStr">
        <is>
          <t>AKHG1801000</t>
        </is>
      </c>
      <c r="B133" t="inlineStr">
        <is>
          <t>AKHG 180-1000</t>
        </is>
      </c>
      <c r="C133" t="inlineStr">
        <is>
          <t>AKHG</t>
        </is>
      </c>
      <c r="D133" t="inlineStr">
        <is>
          <t>model</t>
        </is>
      </c>
      <c r="G133" s="6" t="n">
        <v>112858</v>
      </c>
      <c r="H133" t="n">
        <v>25</v>
      </c>
      <c r="I133" s="3" t="n">
        <v>141100</v>
      </c>
      <c r="J133">
        <f>IF(I133&gt;0,CEILING(I133*(1-Policy!$B$13/100),IF(I133&lt;10000,50,100)),"")</f>
        <v/>
      </c>
      <c r="K133">
        <f>IF(I133&gt;0,ROUNDUP(I133/Policy!$B$14*(1+Policy!$B$15/100),0),"")</f>
        <v/>
      </c>
      <c r="L133" t="n">
        <v>42</v>
      </c>
      <c r="M133" t="inlineStr">
        <is>
          <t>stroke 1000 mm, Fs 900000 N</t>
        </is>
      </c>
    </row>
    <row r="134">
      <c r="A134" t="inlineStr">
        <is>
          <t>AKHS13070</t>
        </is>
      </c>
      <c r="B134" t="inlineStr">
        <is>
          <t>AKHS 130-70</t>
        </is>
      </c>
      <c r="C134" t="inlineStr">
        <is>
          <t>AKHS</t>
        </is>
      </c>
      <c r="D134" t="inlineStr">
        <is>
          <t>file</t>
        </is>
      </c>
      <c r="E134" t="n">
        <v>28500</v>
      </c>
      <c r="F134" t="inlineStr">
        <is>
          <t>product_list:b2b</t>
        </is>
      </c>
      <c r="G134" t="n">
        <v>28500</v>
      </c>
      <c r="H134" t="n">
        <v>0</v>
      </c>
      <c r="I134" s="3" t="n">
        <v>28500</v>
      </c>
      <c r="J134">
        <f>IF(I134&gt;0,CEILING(I134*(1-Policy!$B$13/100),IF(I134&lt;10000,50,100)),"")</f>
        <v/>
      </c>
      <c r="K134">
        <f>IF(I134&gt;0,ROUNDUP(I134/Policy!$B$14*(1+Policy!$B$15/100),0),"")</f>
        <v/>
      </c>
      <c r="L134" t="n">
        <v>42</v>
      </c>
      <c r="M134" t="inlineStr">
        <is>
          <t>stroke 70 mm, Fs 214286 N</t>
        </is>
      </c>
    </row>
    <row r="135">
      <c r="A135" t="inlineStr">
        <is>
          <t>AKHS130100</t>
        </is>
      </c>
      <c r="B135" t="inlineStr">
        <is>
          <t>AKHS 130-100</t>
        </is>
      </c>
      <c r="C135" t="inlineStr">
        <is>
          <t>AKHS</t>
        </is>
      </c>
      <c r="D135" t="inlineStr">
        <is>
          <t>model</t>
        </is>
      </c>
      <c r="G135" s="6" t="n">
        <v>29935</v>
      </c>
      <c r="H135" t="n">
        <v>25</v>
      </c>
      <c r="I135" s="3" t="n">
        <v>37500</v>
      </c>
      <c r="J135">
        <f>IF(I135&gt;0,CEILING(I135*(1-Policy!$B$13/100),IF(I135&lt;10000,50,100)),"")</f>
        <v/>
      </c>
      <c r="K135">
        <f>IF(I135&gt;0,ROUNDUP(I135/Policy!$B$14*(1+Policy!$B$15/100),0),"")</f>
        <v/>
      </c>
      <c r="L135" t="n">
        <v>42</v>
      </c>
      <c r="M135" t="inlineStr">
        <is>
          <t>stroke 100 mm, Fs 200000 N</t>
        </is>
      </c>
    </row>
    <row r="136">
      <c r="A136" t="inlineStr">
        <is>
          <t>AKHS130150</t>
        </is>
      </c>
      <c r="B136" t="inlineStr">
        <is>
          <t>AKHS 130-150</t>
        </is>
      </c>
      <c r="C136" t="inlineStr">
        <is>
          <t>AKHS</t>
        </is>
      </c>
      <c r="D136" t="inlineStr">
        <is>
          <t>model</t>
        </is>
      </c>
      <c r="G136" s="6" t="n">
        <v>31513</v>
      </c>
      <c r="H136" t="n">
        <v>25</v>
      </c>
      <c r="I136" s="3" t="n">
        <v>39400</v>
      </c>
      <c r="J136">
        <f>IF(I136&gt;0,CEILING(I136*(1-Policy!$B$13/100),IF(I136&lt;10000,50,100)),"")</f>
        <v/>
      </c>
      <c r="K136">
        <f>IF(I136&gt;0,ROUNDUP(I136/Policy!$B$14*(1+Policy!$B$15/100),0),"")</f>
        <v/>
      </c>
      <c r="L136" t="n">
        <v>42</v>
      </c>
      <c r="M136" t="inlineStr">
        <is>
          <t>stroke 150 mm, Fs 183333 N</t>
        </is>
      </c>
    </row>
    <row r="137">
      <c r="A137" t="inlineStr">
        <is>
          <t>AKHS16080</t>
        </is>
      </c>
      <c r="B137" t="inlineStr">
        <is>
          <t>AKHS 160-80</t>
        </is>
      </c>
      <c r="C137" t="inlineStr">
        <is>
          <t>AKHS</t>
        </is>
      </c>
      <c r="D137" t="inlineStr">
        <is>
          <t>model</t>
        </is>
      </c>
      <c r="G137" s="6" t="n">
        <v>42694</v>
      </c>
      <c r="H137" t="n">
        <v>25</v>
      </c>
      <c r="I137" s="3" t="n">
        <v>53400</v>
      </c>
      <c r="J137">
        <f>IF(I137&gt;0,CEILING(I137*(1-Policy!$B$13/100),IF(I137&lt;10000,50,100)),"")</f>
        <v/>
      </c>
      <c r="K137">
        <f>IF(I137&gt;0,ROUNDUP(I137/Policy!$B$14*(1+Policy!$B$15/100),0),"")</f>
        <v/>
      </c>
      <c r="L137" t="n">
        <v>42</v>
      </c>
      <c r="M137" t="inlineStr">
        <is>
          <t>stroke 80 mm, Fs 437500 N</t>
        </is>
      </c>
    </row>
    <row r="138">
      <c r="A138" t="inlineStr">
        <is>
          <t>AKHS190100</t>
        </is>
      </c>
      <c r="B138" t="inlineStr">
        <is>
          <t>AKHS 190-100</t>
        </is>
      </c>
      <c r="C138" t="inlineStr">
        <is>
          <t>AKHS</t>
        </is>
      </c>
      <c r="D138" t="inlineStr">
        <is>
          <t>model</t>
        </is>
      </c>
      <c r="G138" s="6" t="n">
        <v>49521</v>
      </c>
      <c r="H138" t="n">
        <v>25</v>
      </c>
      <c r="I138" s="3" t="n">
        <v>62000</v>
      </c>
      <c r="J138">
        <f>IF(I138&gt;0,CEILING(I138*(1-Policy!$B$13/100),IF(I138&lt;10000,50,100)),"")</f>
        <v/>
      </c>
      <c r="K138">
        <f>IF(I138&gt;0,ROUNDUP(I138/Policy!$B$14*(1+Policy!$B$15/100),0),"")</f>
        <v/>
      </c>
      <c r="L138" t="n">
        <v>42</v>
      </c>
      <c r="M138" t="inlineStr">
        <is>
          <t>stroke 100 mm, Fs 525000 N</t>
        </is>
      </c>
    </row>
    <row r="139">
      <c r="A139" t="inlineStr">
        <is>
          <t>AKHS160150</t>
        </is>
      </c>
      <c r="B139" t="inlineStr">
        <is>
          <t>AKHS 160-150</t>
        </is>
      </c>
      <c r="C139" t="inlineStr">
        <is>
          <t>AKHS</t>
        </is>
      </c>
      <c r="D139" t="inlineStr">
        <is>
          <t>model</t>
        </is>
      </c>
      <c r="G139" s="6" t="n">
        <v>45237</v>
      </c>
      <c r="H139" t="n">
        <v>25</v>
      </c>
      <c r="I139" s="3" t="n">
        <v>56600</v>
      </c>
      <c r="J139">
        <f>IF(I139&gt;0,CEILING(I139*(1-Policy!$B$13/100),IF(I139&lt;10000,50,100)),"")</f>
        <v/>
      </c>
      <c r="K139">
        <f>IF(I139&gt;0,ROUNDUP(I139/Policy!$B$14*(1+Policy!$B$15/100),0),"")</f>
        <v/>
      </c>
      <c r="L139" t="n">
        <v>42</v>
      </c>
      <c r="M139" t="inlineStr">
        <is>
          <t>stroke 150 mm, Fs 366667 N</t>
        </is>
      </c>
    </row>
    <row r="140">
      <c r="A140" t="inlineStr">
        <is>
          <t>AKHS190150</t>
        </is>
      </c>
      <c r="B140" t="inlineStr">
        <is>
          <t>AKHS 190-150</t>
        </is>
      </c>
      <c r="C140" t="inlineStr">
        <is>
          <t>AKHS</t>
        </is>
      </c>
      <c r="D140" t="inlineStr">
        <is>
          <t>model</t>
        </is>
      </c>
      <c r="G140" s="6" t="n">
        <v>55448</v>
      </c>
      <c r="H140" t="n">
        <v>25</v>
      </c>
      <c r="I140" s="3" t="n">
        <v>69400</v>
      </c>
      <c r="J140">
        <f>IF(I140&gt;0,CEILING(I140*(1-Policy!$B$13/100),IF(I140&lt;10000,50,100)),"")</f>
        <v/>
      </c>
      <c r="K140">
        <f>IF(I140&gt;0,ROUNDUP(I140/Policy!$B$14*(1+Policy!$B$15/100),0),"")</f>
        <v/>
      </c>
      <c r="L140" t="n">
        <v>42</v>
      </c>
      <c r="M140" t="inlineStr">
        <is>
          <t>stroke 150 mm, Fs 541667 N</t>
        </is>
      </c>
    </row>
    <row r="141">
      <c r="A141" t="inlineStr">
        <is>
          <t>ED1.5X2</t>
        </is>
      </c>
      <c r="B141" t="inlineStr">
        <is>
          <t>ED 1.5 x 2</t>
        </is>
      </c>
      <c r="C141" t="inlineStr">
        <is>
          <t>ED</t>
        </is>
      </c>
      <c r="D141" t="inlineStr">
        <is>
          <t>model</t>
        </is>
      </c>
      <c r="G141" s="6" t="n">
        <v>15625</v>
      </c>
      <c r="H141" t="n">
        <v>25</v>
      </c>
      <c r="I141" s="3" t="n">
        <v>19600</v>
      </c>
      <c r="J141">
        <f>IF(I141&gt;0,CEILING(I141*(1-Policy!$B$13/100),IF(I141&lt;10000,50,100)),"")</f>
        <v/>
      </c>
      <c r="K141">
        <f>IF(I141&gt;0,ROUNDUP(I141/Policy!$B$14*(1+Policy!$B$15/100),0),"")</f>
        <v/>
      </c>
      <c r="L141" t="n">
        <v>42</v>
      </c>
      <c r="M141" t="inlineStr">
        <is>
          <t>stroke 50 mm, Fs 80000 N</t>
        </is>
      </c>
    </row>
    <row r="142">
      <c r="A142" t="inlineStr">
        <is>
          <t>ED1.5X4</t>
        </is>
      </c>
      <c r="B142" t="inlineStr">
        <is>
          <t>ED 1.5 x 4</t>
        </is>
      </c>
      <c r="C142" t="inlineStr">
        <is>
          <t>ED</t>
        </is>
      </c>
      <c r="D142" t="inlineStr">
        <is>
          <t>model</t>
        </is>
      </c>
      <c r="G142" s="6" t="n">
        <v>17980</v>
      </c>
      <c r="H142" t="n">
        <v>25</v>
      </c>
      <c r="I142" s="3" t="n">
        <v>22500</v>
      </c>
      <c r="J142">
        <f>IF(I142&gt;0,CEILING(I142*(1-Policy!$B$13/100),IF(I142&lt;10000,50,100)),"")</f>
        <v/>
      </c>
      <c r="K142">
        <f>IF(I142&gt;0,ROUNDUP(I142/Policy!$B$14*(1+Policy!$B$15/100),0),"")</f>
        <v/>
      </c>
      <c r="L142" t="n">
        <v>42</v>
      </c>
      <c r="M142" t="inlineStr">
        <is>
          <t>stroke 100 mm, Fs 76250 N</t>
        </is>
      </c>
    </row>
    <row r="143">
      <c r="A143" t="inlineStr">
        <is>
          <t>ED1.5X6</t>
        </is>
      </c>
      <c r="B143" t="inlineStr">
        <is>
          <t>ED 1.5 x 6</t>
        </is>
      </c>
      <c r="C143" t="inlineStr">
        <is>
          <t>ED</t>
        </is>
      </c>
      <c r="D143" t="inlineStr">
        <is>
          <t>model</t>
        </is>
      </c>
      <c r="G143" s="6" t="n">
        <v>19750</v>
      </c>
      <c r="H143" t="n">
        <v>25</v>
      </c>
      <c r="I143" s="3" t="n">
        <v>24700</v>
      </c>
      <c r="J143">
        <f>IF(I143&gt;0,CEILING(I143*(1-Policy!$B$13/100),IF(I143&lt;10000,50,100)),"")</f>
        <v/>
      </c>
      <c r="K143">
        <f>IF(I143&gt;0,ROUNDUP(I143/Policy!$B$14*(1+Policy!$B$15/100),0),"")</f>
        <v/>
      </c>
      <c r="L143" t="n">
        <v>42</v>
      </c>
      <c r="M143" t="inlineStr">
        <is>
          <t>stroke 150 mm, Fs 75833 N</t>
        </is>
      </c>
    </row>
    <row r="144">
      <c r="A144" t="inlineStr">
        <is>
          <t>ED3.0X2</t>
        </is>
      </c>
      <c r="B144" t="inlineStr">
        <is>
          <t>ED 3.0 x 2</t>
        </is>
      </c>
      <c r="C144" t="inlineStr">
        <is>
          <t>ED</t>
        </is>
      </c>
      <c r="D144" t="inlineStr">
        <is>
          <t>model</t>
        </is>
      </c>
      <c r="G144" s="6" t="n">
        <v>27713</v>
      </c>
      <c r="H144" t="n">
        <v>25</v>
      </c>
      <c r="I144" s="3" t="n">
        <v>34700</v>
      </c>
      <c r="J144">
        <f>IF(I144&gt;0,CEILING(I144*(1-Policy!$B$13/100),IF(I144&lt;10000,50,100)),"")</f>
        <v/>
      </c>
      <c r="K144">
        <f>IF(I144&gt;0,ROUNDUP(I144/Policy!$B$14*(1+Policy!$B$15/100),0),"")</f>
        <v/>
      </c>
      <c r="L144" t="n">
        <v>42</v>
      </c>
      <c r="M144" t="inlineStr">
        <is>
          <t>stroke 50 mm, Fs 240000 N</t>
        </is>
      </c>
    </row>
    <row r="145">
      <c r="A145" t="inlineStr">
        <is>
          <t>ED1.5X8</t>
        </is>
      </c>
      <c r="B145" t="inlineStr">
        <is>
          <t>ED 1.5 x 8</t>
        </is>
      </c>
      <c r="C145" t="inlineStr">
        <is>
          <t>ED</t>
        </is>
      </c>
      <c r="D145" t="inlineStr">
        <is>
          <t>model</t>
        </is>
      </c>
      <c r="G145" s="6" t="n">
        <v>21214</v>
      </c>
      <c r="H145" t="n">
        <v>25</v>
      </c>
      <c r="I145" s="3" t="n">
        <v>26600</v>
      </c>
      <c r="J145">
        <f>IF(I145&gt;0,CEILING(I145*(1-Policy!$B$13/100),IF(I145&lt;10000,50,100)),"")</f>
        <v/>
      </c>
      <c r="K145">
        <f>IF(I145&gt;0,ROUNDUP(I145/Policy!$B$14*(1+Policy!$B$15/100),0),"")</f>
        <v/>
      </c>
      <c r="L145" t="n">
        <v>42</v>
      </c>
      <c r="M145" t="inlineStr">
        <is>
          <t>stroke 200 mm, Fs 76250 N</t>
        </is>
      </c>
    </row>
    <row r="146">
      <c r="A146" t="inlineStr">
        <is>
          <t>ED3.5X2</t>
        </is>
      </c>
      <c r="B146" t="inlineStr">
        <is>
          <t>ED 3.5 x 2</t>
        </is>
      </c>
      <c r="C146" t="inlineStr">
        <is>
          <t>ED</t>
        </is>
      </c>
      <c r="D146" t="inlineStr">
        <is>
          <t>model</t>
        </is>
      </c>
      <c r="G146" s="6" t="n">
        <v>32461</v>
      </c>
      <c r="H146" t="n">
        <v>25</v>
      </c>
      <c r="I146" s="3" t="n">
        <v>40600</v>
      </c>
      <c r="J146">
        <f>IF(I146&gt;0,CEILING(I146*(1-Policy!$B$13/100),IF(I146&lt;10000,50,100)),"")</f>
        <v/>
      </c>
      <c r="K146">
        <f>IF(I146&gt;0,ROUNDUP(I146/Policy!$B$14*(1+Policy!$B$15/100),0),"")</f>
        <v/>
      </c>
      <c r="L146" t="n">
        <v>42</v>
      </c>
      <c r="M146" t="inlineStr">
        <is>
          <t>stroke 50 mm, Fs 325000 N</t>
        </is>
      </c>
    </row>
    <row r="147">
      <c r="A147" t="inlineStr">
        <is>
          <t>ED3.0X3</t>
        </is>
      </c>
      <c r="B147" t="inlineStr">
        <is>
          <t>ED 3.0 x 3</t>
        </is>
      </c>
      <c r="C147" t="inlineStr">
        <is>
          <t>ED</t>
        </is>
      </c>
      <c r="D147" t="inlineStr">
        <is>
          <t>model</t>
        </is>
      </c>
      <c r="G147" s="6" t="n">
        <v>30749</v>
      </c>
      <c r="H147" t="n">
        <v>25</v>
      </c>
      <c r="I147" s="3" t="n">
        <v>38500</v>
      </c>
      <c r="J147">
        <f>IF(I147&gt;0,CEILING(I147*(1-Policy!$B$13/100),IF(I147&lt;10000,50,100)),"")</f>
        <v/>
      </c>
      <c r="K147">
        <f>IF(I147&gt;0,ROUNDUP(I147/Policy!$B$14*(1+Policy!$B$15/100),0),"")</f>
        <v/>
      </c>
      <c r="L147" t="n">
        <v>42</v>
      </c>
      <c r="M147" t="inlineStr">
        <is>
          <t>stroke 75 mm, Fs 243333 N</t>
        </is>
      </c>
    </row>
    <row r="148">
      <c r="A148" t="inlineStr">
        <is>
          <t>ED1.5X10</t>
        </is>
      </c>
      <c r="B148" t="inlineStr">
        <is>
          <t>ED 1.5 x 10</t>
        </is>
      </c>
      <c r="C148" t="inlineStr">
        <is>
          <t>ED</t>
        </is>
      </c>
      <c r="D148" t="inlineStr">
        <is>
          <t>model</t>
        </is>
      </c>
      <c r="G148" s="6" t="n">
        <v>22335</v>
      </c>
      <c r="H148" t="n">
        <v>25</v>
      </c>
      <c r="I148" s="3" t="n">
        <v>28000</v>
      </c>
      <c r="J148">
        <f>IF(I148&gt;0,CEILING(I148*(1-Policy!$B$13/100),IF(I148&lt;10000,50,100)),"")</f>
        <v/>
      </c>
      <c r="K148">
        <f>IF(I148&gt;0,ROUNDUP(I148/Policy!$B$14*(1+Policy!$B$15/100),0),"")</f>
        <v/>
      </c>
      <c r="L148" t="n">
        <v>42</v>
      </c>
      <c r="M148" t="inlineStr">
        <is>
          <t>stroke 250 mm, Fs 76000 N</t>
        </is>
      </c>
    </row>
    <row r="149">
      <c r="A149" t="inlineStr">
        <is>
          <t>ED4.0X2</t>
        </is>
      </c>
      <c r="B149" t="inlineStr">
        <is>
          <t>ED 4.0 x 2</t>
        </is>
      </c>
      <c r="C149" t="inlineStr">
        <is>
          <t>ED</t>
        </is>
      </c>
      <c r="D149" t="inlineStr">
        <is>
          <t>model</t>
        </is>
      </c>
      <c r="G149" s="6" t="n">
        <v>35819</v>
      </c>
      <c r="H149" t="n">
        <v>25</v>
      </c>
      <c r="I149" s="3" t="n">
        <v>44800</v>
      </c>
      <c r="J149">
        <f>IF(I149&gt;0,CEILING(I149*(1-Policy!$B$13/100),IF(I149&lt;10000,50,100)),"")</f>
        <v/>
      </c>
      <c r="K149">
        <f>IF(I149&gt;0,ROUNDUP(I149/Policy!$B$14*(1+Policy!$B$15/100),0),"")</f>
        <v/>
      </c>
      <c r="L149" t="n">
        <v>42</v>
      </c>
      <c r="M149" t="inlineStr">
        <is>
          <t>stroke 50 mm, Fs 392500 N</t>
        </is>
      </c>
    </row>
    <row r="150">
      <c r="A150" t="inlineStr">
        <is>
          <t>ED2.0X6</t>
        </is>
      </c>
      <c r="B150" t="inlineStr">
        <is>
          <t>ED 2.0 x 6</t>
        </is>
      </c>
      <c r="C150" t="inlineStr">
        <is>
          <t>ED</t>
        </is>
      </c>
      <c r="D150" t="inlineStr">
        <is>
          <t>model</t>
        </is>
      </c>
      <c r="G150" s="6" t="n">
        <v>27425</v>
      </c>
      <c r="H150" t="n">
        <v>25</v>
      </c>
      <c r="I150" s="3" t="n">
        <v>34300</v>
      </c>
      <c r="J150">
        <f>IF(I150&gt;0,CEILING(I150*(1-Policy!$B$13/100),IF(I150&lt;10000,50,100)),"")</f>
        <v/>
      </c>
      <c r="K150">
        <f>IF(I150&gt;0,ROUNDUP(I150/Policy!$B$14*(1+Policy!$B$15/100),0),"")</f>
        <v/>
      </c>
      <c r="L150" t="n">
        <v>42</v>
      </c>
      <c r="M150" t="inlineStr">
        <is>
          <t>stroke 152 mm, Fs 141447 N</t>
        </is>
      </c>
    </row>
    <row r="151">
      <c r="A151" t="inlineStr">
        <is>
          <t>ED1.5X12</t>
        </is>
      </c>
      <c r="B151" t="inlineStr">
        <is>
          <t>ED 1.5 x 12</t>
        </is>
      </c>
      <c r="C151" t="inlineStr">
        <is>
          <t>ED</t>
        </is>
      </c>
      <c r="D151" t="inlineStr">
        <is>
          <t>model</t>
        </is>
      </c>
      <c r="G151" s="6" t="n">
        <v>23369</v>
      </c>
      <c r="H151" t="n">
        <v>25</v>
      </c>
      <c r="I151" s="3" t="n">
        <v>29300</v>
      </c>
      <c r="J151">
        <f>IF(I151&gt;0,CEILING(I151*(1-Policy!$B$13/100),IF(I151&lt;10000,50,100)),"")</f>
        <v/>
      </c>
      <c r="K151">
        <f>IF(I151&gt;0,ROUNDUP(I151/Policy!$B$14*(1+Policy!$B$15/100),0),"")</f>
        <v/>
      </c>
      <c r="L151" t="n">
        <v>42</v>
      </c>
      <c r="M151" t="inlineStr">
        <is>
          <t>stroke 300 mm, Fs 76250 N</t>
        </is>
      </c>
    </row>
    <row r="152">
      <c r="A152" t="inlineStr">
        <is>
          <t>ED1.5X14</t>
        </is>
      </c>
      <c r="B152" t="inlineStr">
        <is>
          <t>ED 1.5 x 14</t>
        </is>
      </c>
      <c r="C152" t="inlineStr">
        <is>
          <t>ED</t>
        </is>
      </c>
      <c r="D152" t="inlineStr">
        <is>
          <t>model</t>
        </is>
      </c>
      <c r="G152" s="6" t="n">
        <v>23976</v>
      </c>
      <c r="H152" t="n">
        <v>25</v>
      </c>
      <c r="I152" s="3" t="n">
        <v>30000</v>
      </c>
      <c r="J152">
        <f>IF(I152&gt;0,CEILING(I152*(1-Policy!$B$13/100),IF(I152&lt;10000,50,100)),"")</f>
        <v/>
      </c>
      <c r="K152">
        <f>IF(I152&gt;0,ROUNDUP(I152/Policy!$B$14*(1+Policy!$B$15/100),0),"")</f>
        <v/>
      </c>
      <c r="L152" t="n">
        <v>42</v>
      </c>
      <c r="M152" t="inlineStr">
        <is>
          <t>stroke 350 mm, Fs 74643 N</t>
        </is>
      </c>
    </row>
    <row r="153">
      <c r="A153" t="inlineStr">
        <is>
          <t>ED2.0X8</t>
        </is>
      </c>
      <c r="B153" t="inlineStr">
        <is>
          <t>ED 2.0 x 8</t>
        </is>
      </c>
      <c r="C153" t="inlineStr">
        <is>
          <t>ED</t>
        </is>
      </c>
      <c r="D153" t="inlineStr">
        <is>
          <t>model</t>
        </is>
      </c>
      <c r="G153" s="6" t="n">
        <v>29404</v>
      </c>
      <c r="H153" t="n">
        <v>25</v>
      </c>
      <c r="I153" s="3" t="n">
        <v>36800</v>
      </c>
      <c r="J153">
        <f>IF(I153&gt;0,CEILING(I153*(1-Policy!$B$13/100),IF(I153&lt;10000,50,100)),"")</f>
        <v/>
      </c>
      <c r="K153">
        <f>IF(I153&gt;0,ROUNDUP(I153/Policy!$B$14*(1+Policy!$B$15/100),0),"")</f>
        <v/>
      </c>
      <c r="L153" t="n">
        <v>42</v>
      </c>
      <c r="M153" t="inlineStr">
        <is>
          <t>stroke 203 mm, Fs 141626 N</t>
        </is>
      </c>
    </row>
    <row r="154">
      <c r="A154" t="inlineStr">
        <is>
          <t>ED1.5X16</t>
        </is>
      </c>
      <c r="B154" t="inlineStr">
        <is>
          <t>ED 1.5 x 16</t>
        </is>
      </c>
      <c r="C154" t="inlineStr">
        <is>
          <t>ED</t>
        </is>
      </c>
      <c r="D154" t="inlineStr">
        <is>
          <t>model</t>
        </is>
      </c>
      <c r="G154" s="6" t="n">
        <v>24434</v>
      </c>
      <c r="H154" t="n">
        <v>25</v>
      </c>
      <c r="I154" s="3" t="n">
        <v>30600</v>
      </c>
      <c r="J154">
        <f>IF(I154&gt;0,CEILING(I154*(1-Policy!$B$13/100),IF(I154&lt;10000,50,100)),"")</f>
        <v/>
      </c>
      <c r="K154">
        <f>IF(I154&gt;0,ROUNDUP(I154/Policy!$B$14*(1+Policy!$B$15/100),0),"")</f>
        <v/>
      </c>
      <c r="L154" t="n">
        <v>42</v>
      </c>
      <c r="M154" t="inlineStr">
        <is>
          <t>stroke 400 mm, Fs 72812 N</t>
        </is>
      </c>
    </row>
    <row r="155">
      <c r="A155" t="inlineStr">
        <is>
          <t>ED3.0X5</t>
        </is>
      </c>
      <c r="B155" t="inlineStr">
        <is>
          <t>ED 3.0 x 5</t>
        </is>
      </c>
      <c r="C155" t="inlineStr">
        <is>
          <t>ED</t>
        </is>
      </c>
      <c r="D155" t="inlineStr">
        <is>
          <t>model</t>
        </is>
      </c>
      <c r="G155" s="6" t="n">
        <v>34635</v>
      </c>
      <c r="H155" t="n">
        <v>25</v>
      </c>
      <c r="I155" s="3" t="n">
        <v>43300</v>
      </c>
      <c r="J155">
        <f>IF(I155&gt;0,CEILING(I155*(1-Policy!$B$13/100),IF(I155&lt;10000,50,100)),"")</f>
        <v/>
      </c>
      <c r="K155">
        <f>IF(I155&gt;0,ROUNDUP(I155/Policy!$B$14*(1+Policy!$B$15/100),0),"")</f>
        <v/>
      </c>
      <c r="L155" t="n">
        <v>42</v>
      </c>
      <c r="M155" t="inlineStr">
        <is>
          <t>stroke 125 mm, Fs 242000 N</t>
        </is>
      </c>
    </row>
    <row r="156">
      <c r="A156" t="inlineStr">
        <is>
          <t>ED1.5X18</t>
        </is>
      </c>
      <c r="B156" t="inlineStr">
        <is>
          <t>ED 1.5 x 18</t>
        </is>
      </c>
      <c r="C156" t="inlineStr">
        <is>
          <t>ED</t>
        </is>
      </c>
      <c r="D156" t="inlineStr">
        <is>
          <t>model</t>
        </is>
      </c>
      <c r="G156" s="6" t="n">
        <v>24670</v>
      </c>
      <c r="H156" t="n">
        <v>25</v>
      </c>
      <c r="I156" s="3" t="n">
        <v>30900</v>
      </c>
      <c r="J156">
        <f>IF(I156&gt;0,CEILING(I156*(1-Policy!$B$13/100),IF(I156&lt;10000,50,100)),"")</f>
        <v/>
      </c>
      <c r="K156">
        <f>IF(I156&gt;0,ROUNDUP(I156/Policy!$B$14*(1+Policy!$B$15/100),0),"")</f>
        <v/>
      </c>
      <c r="L156" t="n">
        <v>42</v>
      </c>
      <c r="M156" t="inlineStr">
        <is>
          <t>stroke 450 mm, Fs 70278 N</t>
        </is>
      </c>
    </row>
    <row r="157">
      <c r="A157" t="inlineStr">
        <is>
          <t>ED3.5X4</t>
        </is>
      </c>
      <c r="B157" t="inlineStr">
        <is>
          <t>ED 3.5 x 4</t>
        </is>
      </c>
      <c r="C157" t="inlineStr">
        <is>
          <t>ED</t>
        </is>
      </c>
      <c r="D157" t="inlineStr">
        <is>
          <t>model</t>
        </is>
      </c>
      <c r="G157" s="6" t="n">
        <v>38300</v>
      </c>
      <c r="H157" t="n">
        <v>25</v>
      </c>
      <c r="I157" s="3" t="n">
        <v>47900</v>
      </c>
      <c r="J157">
        <f>IF(I157&gt;0,CEILING(I157*(1-Policy!$B$13/100),IF(I157&lt;10000,50,100)),"")</f>
        <v/>
      </c>
      <c r="K157">
        <f>IF(I157&gt;0,ROUNDUP(I157/Policy!$B$14*(1+Policy!$B$15/100),0),"")</f>
        <v/>
      </c>
      <c r="L157" t="n">
        <v>42</v>
      </c>
      <c r="M157" t="inlineStr">
        <is>
          <t>stroke 100 mm, Fs 325000 N</t>
        </is>
      </c>
    </row>
    <row r="158">
      <c r="A158" t="inlineStr">
        <is>
          <t>ED1.5X20</t>
        </is>
      </c>
      <c r="B158" t="inlineStr">
        <is>
          <t>ED 1.5 x 20</t>
        </is>
      </c>
      <c r="C158" t="inlineStr">
        <is>
          <t>ED</t>
        </is>
      </c>
      <c r="D158" t="inlineStr">
        <is>
          <t>model</t>
        </is>
      </c>
      <c r="G158" s="6" t="n">
        <v>24867</v>
      </c>
      <c r="H158" t="n">
        <v>25</v>
      </c>
      <c r="I158" s="3" t="n">
        <v>31100</v>
      </c>
      <c r="J158">
        <f>IF(I158&gt;0,CEILING(I158*(1-Policy!$B$13/100),IF(I158&lt;10000,50,100)),"")</f>
        <v/>
      </c>
      <c r="K158">
        <f>IF(I158&gt;0,ROUNDUP(I158/Policy!$B$14*(1+Policy!$B$15/100),0),"")</f>
        <v/>
      </c>
      <c r="L158" t="n">
        <v>42</v>
      </c>
      <c r="M158" t="inlineStr">
        <is>
          <t>stroke 500 mm, Fs 68000 N</t>
        </is>
      </c>
    </row>
    <row r="159">
      <c r="A159" t="inlineStr">
        <is>
          <t>ED2.0X10</t>
        </is>
      </c>
      <c r="B159" t="inlineStr">
        <is>
          <t>ED 2.0 x 10</t>
        </is>
      </c>
      <c r="C159" t="inlineStr">
        <is>
          <t>ED</t>
        </is>
      </c>
      <c r="D159" t="inlineStr">
        <is>
          <t>model</t>
        </is>
      </c>
      <c r="G159" s="6" t="n">
        <v>31172</v>
      </c>
      <c r="H159" t="n">
        <v>25</v>
      </c>
      <c r="I159" s="3" t="n">
        <v>39000</v>
      </c>
      <c r="J159">
        <f>IF(I159&gt;0,CEILING(I159*(1-Policy!$B$13/100),IF(I159&lt;10000,50,100)),"")</f>
        <v/>
      </c>
      <c r="K159">
        <f>IF(I159&gt;0,ROUNDUP(I159/Policy!$B$14*(1+Policy!$B$15/100),0),"")</f>
        <v/>
      </c>
      <c r="L159" t="n">
        <v>42</v>
      </c>
      <c r="M159" t="inlineStr">
        <is>
          <t>stroke 250 mm, Fs 144000 N</t>
        </is>
      </c>
    </row>
    <row r="160">
      <c r="A160" t="inlineStr">
        <is>
          <t>ED1.5X24</t>
        </is>
      </c>
      <c r="B160" t="inlineStr">
        <is>
          <t>ED 1.5 x 24</t>
        </is>
      </c>
      <c r="C160" t="inlineStr">
        <is>
          <t>ED</t>
        </is>
      </c>
      <c r="D160" t="inlineStr">
        <is>
          <t>model</t>
        </is>
      </c>
      <c r="G160" s="6" t="n">
        <v>25070</v>
      </c>
      <c r="H160" t="n">
        <v>25</v>
      </c>
      <c r="I160" s="3" t="n">
        <v>31400</v>
      </c>
      <c r="J160">
        <f>IF(I160&gt;0,CEILING(I160*(1-Policy!$B$13/100),IF(I160&lt;10000,50,100)),"")</f>
        <v/>
      </c>
      <c r="K160">
        <f>IF(I160&gt;0,ROUNDUP(I160/Policy!$B$14*(1+Policy!$B$15/100),0),"")</f>
        <v/>
      </c>
      <c r="L160" t="n">
        <v>42</v>
      </c>
      <c r="M160" t="inlineStr">
        <is>
          <t>stroke 600 mm, Fs 63542 N</t>
        </is>
      </c>
    </row>
    <row r="161">
      <c r="A161" t="inlineStr">
        <is>
          <t>ED4.0X4</t>
        </is>
      </c>
      <c r="B161" t="inlineStr">
        <is>
          <t>ED 4.0 x 4</t>
        </is>
      </c>
      <c r="C161" t="inlineStr">
        <is>
          <t>ED</t>
        </is>
      </c>
      <c r="D161" t="inlineStr">
        <is>
          <t>model</t>
        </is>
      </c>
      <c r="G161" s="6" t="n">
        <v>42121</v>
      </c>
      <c r="H161" t="n">
        <v>25</v>
      </c>
      <c r="I161" s="3" t="n">
        <v>52700</v>
      </c>
      <c r="J161">
        <f>IF(I161&gt;0,CEILING(I161*(1-Policy!$B$13/100),IF(I161&lt;10000,50,100)),"")</f>
        <v/>
      </c>
      <c r="K161">
        <f>IF(I161&gt;0,ROUNDUP(I161/Policy!$B$14*(1+Policy!$B$15/100),0),"")</f>
        <v/>
      </c>
      <c r="L161" t="n">
        <v>42</v>
      </c>
      <c r="M161" t="inlineStr">
        <is>
          <t>stroke 100 mm, Fs 390000 N</t>
        </is>
      </c>
    </row>
    <row r="162">
      <c r="A162" t="inlineStr">
        <is>
          <t>ED1.5X28</t>
        </is>
      </c>
      <c r="B162" t="inlineStr">
        <is>
          <t>ED 1.5 x 28</t>
        </is>
      </c>
      <c r="C162" t="inlineStr">
        <is>
          <t>ED</t>
        </is>
      </c>
      <c r="D162" t="inlineStr">
        <is>
          <t>model</t>
        </is>
      </c>
      <c r="G162" s="6" t="n">
        <v>25112</v>
      </c>
      <c r="H162" t="n">
        <v>25</v>
      </c>
      <c r="I162" s="3" t="n">
        <v>31400</v>
      </c>
      <c r="J162">
        <f>IF(I162&gt;0,CEILING(I162*(1-Policy!$B$13/100),IF(I162&lt;10000,50,100)),"")</f>
        <v/>
      </c>
      <c r="K162">
        <f>IF(I162&gt;0,ROUNDUP(I162/Policy!$B$14*(1+Policy!$B$15/100),0),"")</f>
        <v/>
      </c>
      <c r="L162" t="n">
        <v>42</v>
      </c>
      <c r="M162" t="inlineStr">
        <is>
          <t>stroke 713 mm, Fs 58906 N</t>
        </is>
      </c>
    </row>
    <row r="163">
      <c r="A163" t="inlineStr">
        <is>
          <t>ED2.0X12</t>
        </is>
      </c>
      <c r="B163" t="inlineStr">
        <is>
          <t>ED 2.0 x 12</t>
        </is>
      </c>
      <c r="C163" t="inlineStr">
        <is>
          <t>ED</t>
        </is>
      </c>
      <c r="D163" t="inlineStr">
        <is>
          <t>model</t>
        </is>
      </c>
      <c r="G163" s="6" t="n">
        <v>32430</v>
      </c>
      <c r="H163" t="n">
        <v>25</v>
      </c>
      <c r="I163" s="3" t="n">
        <v>40600</v>
      </c>
      <c r="J163">
        <f>IF(I163&gt;0,CEILING(I163*(1-Policy!$B$13/100),IF(I163&lt;10000,50,100)),"")</f>
        <v/>
      </c>
      <c r="K163">
        <f>IF(I163&gt;0,ROUNDUP(I163/Policy!$B$14*(1+Policy!$B$15/100),0),"")</f>
        <v/>
      </c>
      <c r="L163" t="n">
        <v>42</v>
      </c>
      <c r="M163" t="inlineStr">
        <is>
          <t>stroke 300 mm, Fs 142917 N</t>
        </is>
      </c>
    </row>
    <row r="164">
      <c r="A164" t="inlineStr">
        <is>
          <t>ED3.0X8</t>
        </is>
      </c>
      <c r="B164" t="inlineStr">
        <is>
          <t>ED 3.0 x 8</t>
        </is>
      </c>
      <c r="C164" t="inlineStr">
        <is>
          <t>ED</t>
        </is>
      </c>
      <c r="D164" t="inlineStr">
        <is>
          <t>model</t>
        </is>
      </c>
      <c r="G164" s="6" t="n">
        <v>37139</v>
      </c>
      <c r="H164" t="n">
        <v>25</v>
      </c>
      <c r="I164" s="3" t="n">
        <v>46500</v>
      </c>
      <c r="J164">
        <f>IF(I164&gt;0,CEILING(I164*(1-Policy!$B$13/100),IF(I164&lt;10000,50,100)),"")</f>
        <v/>
      </c>
      <c r="K164">
        <f>IF(I164&gt;0,ROUNDUP(I164/Policy!$B$14*(1+Policy!$B$15/100),0),"")</f>
        <v/>
      </c>
      <c r="L164" t="n">
        <v>42</v>
      </c>
      <c r="M164" t="inlineStr">
        <is>
          <t>stroke 200 mm, Fs 223125 N</t>
        </is>
      </c>
    </row>
    <row r="165">
      <c r="A165" t="inlineStr">
        <is>
          <t>ED1.5X32</t>
        </is>
      </c>
      <c r="B165" t="inlineStr">
        <is>
          <t>ED 1.5 x 32</t>
        </is>
      </c>
      <c r="C165" t="inlineStr">
        <is>
          <t>ED</t>
        </is>
      </c>
      <c r="D165" t="inlineStr">
        <is>
          <t>model</t>
        </is>
      </c>
      <c r="G165" s="6" t="n">
        <v>25264</v>
      </c>
      <c r="H165" t="n">
        <v>25</v>
      </c>
      <c r="I165" s="3" t="n">
        <v>31600</v>
      </c>
      <c r="J165">
        <f>IF(I165&gt;0,CEILING(I165*(1-Policy!$B$13/100),IF(I165&lt;10000,50,100)),"")</f>
        <v/>
      </c>
      <c r="K165">
        <f>IF(I165&gt;0,ROUNDUP(I165/Policy!$B$14*(1+Policy!$B$15/100),0),"")</f>
        <v/>
      </c>
      <c r="L165" t="n">
        <v>42</v>
      </c>
      <c r="M165" t="inlineStr">
        <is>
          <t>stroke 813 mm, Fs 56119 N</t>
        </is>
      </c>
    </row>
    <row r="166">
      <c r="A166" t="inlineStr">
        <is>
          <t>ED2.0X14</t>
        </is>
      </c>
      <c r="B166" t="inlineStr">
        <is>
          <t>ED 2.0 x 14</t>
        </is>
      </c>
      <c r="C166" t="inlineStr">
        <is>
          <t>ED</t>
        </is>
      </c>
      <c r="D166" t="inlineStr">
        <is>
          <t>model</t>
        </is>
      </c>
      <c r="G166" s="6" t="n">
        <v>33063</v>
      </c>
      <c r="H166" t="n">
        <v>25</v>
      </c>
      <c r="I166" s="3" t="n">
        <v>41400</v>
      </c>
      <c r="J166">
        <f>IF(I166&gt;0,CEILING(I166*(1-Policy!$B$13/100),IF(I166&lt;10000,50,100)),"")</f>
        <v/>
      </c>
      <c r="K166">
        <f>IF(I166&gt;0,ROUNDUP(I166/Policy!$B$14*(1+Policy!$B$15/100),0),"")</f>
        <v/>
      </c>
      <c r="L166" t="n">
        <v>42</v>
      </c>
      <c r="M166" t="inlineStr">
        <is>
          <t>stroke 350 mm, Fs 138214 N</t>
        </is>
      </c>
    </row>
    <row r="167">
      <c r="A167" t="inlineStr">
        <is>
          <t>ED3.5X6</t>
        </is>
      </c>
      <c r="B167" t="inlineStr">
        <is>
          <t>ED 3.5 x 6</t>
        </is>
      </c>
      <c r="C167" t="inlineStr">
        <is>
          <t>ED</t>
        </is>
      </c>
      <c r="D167" t="inlineStr">
        <is>
          <t>model</t>
        </is>
      </c>
      <c r="G167" s="6" t="n">
        <v>42077</v>
      </c>
      <c r="H167" t="n">
        <v>25</v>
      </c>
      <c r="I167" s="3" t="n">
        <v>52600</v>
      </c>
      <c r="J167">
        <f>IF(I167&gt;0,CEILING(I167*(1-Policy!$B$13/100),IF(I167&lt;10000,50,100)),"")</f>
        <v/>
      </c>
      <c r="K167">
        <f>IF(I167&gt;0,ROUNDUP(I167/Policy!$B$14*(1+Policy!$B$15/100),0),"")</f>
        <v/>
      </c>
      <c r="L167" t="n">
        <v>42</v>
      </c>
      <c r="M167" t="inlineStr">
        <is>
          <t>stroke 150 mm, Fs 323333 N</t>
        </is>
      </c>
    </row>
    <row r="168">
      <c r="A168" t="inlineStr">
        <is>
          <t>ED2.0X16</t>
        </is>
      </c>
      <c r="B168" t="inlineStr">
        <is>
          <t>ED 2.0 x 16</t>
        </is>
      </c>
      <c r="C168" t="inlineStr">
        <is>
          <t>ED</t>
        </is>
      </c>
      <c r="D168" t="inlineStr">
        <is>
          <t>model</t>
        </is>
      </c>
      <c r="G168" s="6" t="n">
        <v>33717</v>
      </c>
      <c r="H168" t="n">
        <v>25</v>
      </c>
      <c r="I168" s="3" t="n">
        <v>42200</v>
      </c>
      <c r="J168">
        <f>IF(I168&gt;0,CEILING(I168*(1-Policy!$B$13/100),IF(I168&lt;10000,50,100)),"")</f>
        <v/>
      </c>
      <c r="K168">
        <f>IF(I168&gt;0,ROUNDUP(I168/Policy!$B$14*(1+Policy!$B$15/100),0),"")</f>
        <v/>
      </c>
      <c r="L168" t="n">
        <v>42</v>
      </c>
      <c r="M168" t="inlineStr">
        <is>
          <t>stroke 400 mm, Fs 135000 N</t>
        </is>
      </c>
    </row>
    <row r="169">
      <c r="A169" t="inlineStr">
        <is>
          <t>ED3.0X10</t>
        </is>
      </c>
      <c r="B169" t="inlineStr">
        <is>
          <t>ED 3.0 x 10</t>
        </is>
      </c>
      <c r="C169" t="inlineStr">
        <is>
          <t>ED</t>
        </is>
      </c>
      <c r="D169" t="inlineStr">
        <is>
          <t>model</t>
        </is>
      </c>
      <c r="G169" s="6" t="n">
        <v>38513</v>
      </c>
      <c r="H169" t="n">
        <v>25</v>
      </c>
      <c r="I169" s="3" t="n">
        <v>48200</v>
      </c>
      <c r="J169">
        <f>IF(I169&gt;0,CEILING(I169*(1-Policy!$B$13/100),IF(I169&lt;10000,50,100)),"")</f>
        <v/>
      </c>
      <c r="K169">
        <f>IF(I169&gt;0,ROUNDUP(I169/Policy!$B$14*(1+Policy!$B$15/100),0),"")</f>
        <v/>
      </c>
      <c r="L169" t="n">
        <v>42</v>
      </c>
      <c r="M169" t="inlineStr">
        <is>
          <t>stroke 250 mm, Fs 216000 N</t>
        </is>
      </c>
    </row>
    <row r="170">
      <c r="A170" t="inlineStr">
        <is>
          <t>ED4.0X6</t>
        </is>
      </c>
      <c r="B170" t="inlineStr">
        <is>
          <t>ED 4.0 x 6</t>
        </is>
      </c>
      <c r="C170" t="inlineStr">
        <is>
          <t>ED</t>
        </is>
      </c>
      <c r="D170" t="inlineStr">
        <is>
          <t>model</t>
        </is>
      </c>
      <c r="G170" s="6" t="n">
        <v>46129</v>
      </c>
      <c r="H170" t="n">
        <v>25</v>
      </c>
      <c r="I170" s="3" t="n">
        <v>57700</v>
      </c>
      <c r="J170">
        <f>IF(I170&gt;0,CEILING(I170*(1-Policy!$B$13/100),IF(I170&lt;10000,50,100)),"")</f>
        <v/>
      </c>
      <c r="K170">
        <f>IF(I170&gt;0,ROUNDUP(I170/Policy!$B$14*(1+Policy!$B$15/100),0),"")</f>
        <v/>
      </c>
      <c r="L170" t="n">
        <v>42</v>
      </c>
      <c r="M170" t="inlineStr">
        <is>
          <t>stroke 150 mm, Fs 385658 N</t>
        </is>
      </c>
    </row>
    <row r="171">
      <c r="A171" t="inlineStr">
        <is>
          <t>ED2.0X18</t>
        </is>
      </c>
      <c r="B171" t="inlineStr">
        <is>
          <t>ED 2.0 x 18</t>
        </is>
      </c>
      <c r="C171" t="inlineStr">
        <is>
          <t>ED</t>
        </is>
      </c>
      <c r="D171" t="inlineStr">
        <is>
          <t>model</t>
        </is>
      </c>
      <c r="G171" s="6" t="n">
        <v>34304</v>
      </c>
      <c r="H171" t="n">
        <v>25</v>
      </c>
      <c r="I171" s="3" t="n">
        <v>42900</v>
      </c>
      <c r="J171">
        <f>IF(I171&gt;0,CEILING(I171*(1-Policy!$B$13/100),IF(I171&lt;10000,50,100)),"")</f>
        <v/>
      </c>
      <c r="K171">
        <f>IF(I171&gt;0,ROUNDUP(I171/Policy!$B$14*(1+Policy!$B$15/100),0),"")</f>
        <v/>
      </c>
      <c r="L171" t="n">
        <v>42</v>
      </c>
      <c r="M171" t="inlineStr">
        <is>
          <t>stroke 450 mm, Fs 132222 N</t>
        </is>
      </c>
    </row>
    <row r="172">
      <c r="A172" t="inlineStr">
        <is>
          <t>ED3.0X12</t>
        </is>
      </c>
      <c r="B172" t="inlineStr">
        <is>
          <t>ED 3.0 x 12</t>
        </is>
      </c>
      <c r="C172" t="inlineStr">
        <is>
          <t>ED</t>
        </is>
      </c>
      <c r="D172" t="inlineStr">
        <is>
          <t>model</t>
        </is>
      </c>
      <c r="G172" s="6" t="n">
        <v>39761</v>
      </c>
      <c r="H172" t="n">
        <v>25</v>
      </c>
      <c r="I172" s="3" t="n">
        <v>49800</v>
      </c>
      <c r="J172">
        <f>IF(I172&gt;0,CEILING(I172*(1-Policy!$B$13/100),IF(I172&lt;10000,50,100)),"")</f>
        <v/>
      </c>
      <c r="K172">
        <f>IF(I172&gt;0,ROUNDUP(I172/Policy!$B$14*(1+Policy!$B$15/100),0),"")</f>
        <v/>
      </c>
      <c r="L172" t="n">
        <v>42</v>
      </c>
      <c r="M172" t="inlineStr">
        <is>
          <t>stroke 300 mm, Fs 211250 N</t>
        </is>
      </c>
    </row>
    <row r="173">
      <c r="A173" t="inlineStr">
        <is>
          <t>ED3.5X8</t>
        </is>
      </c>
      <c r="B173" t="inlineStr">
        <is>
          <t>ED 3.5 x 8</t>
        </is>
      </c>
      <c r="C173" t="inlineStr">
        <is>
          <t>ED</t>
        </is>
      </c>
      <c r="D173" t="inlineStr">
        <is>
          <t>model</t>
        </is>
      </c>
      <c r="G173" s="6" t="n">
        <v>44687</v>
      </c>
      <c r="H173" t="n">
        <v>25</v>
      </c>
      <c r="I173" s="3" t="n">
        <v>55900</v>
      </c>
      <c r="J173">
        <f>IF(I173&gt;0,CEILING(I173*(1-Policy!$B$13/100),IF(I173&lt;10000,50,100)),"")</f>
        <v/>
      </c>
      <c r="K173">
        <f>IF(I173&gt;0,ROUNDUP(I173/Policy!$B$14*(1+Policy!$B$15/100),0),"")</f>
        <v/>
      </c>
      <c r="L173" t="n">
        <v>42</v>
      </c>
      <c r="M173" t="inlineStr">
        <is>
          <t>stroke 200 mm, Fs 318125 N</t>
        </is>
      </c>
    </row>
    <row r="174">
      <c r="A174" t="inlineStr">
        <is>
          <t>ED2.0X20</t>
        </is>
      </c>
      <c r="B174" t="inlineStr">
        <is>
          <t>ED 2.0 x 20</t>
        </is>
      </c>
      <c r="C174" t="inlineStr">
        <is>
          <t>ED</t>
        </is>
      </c>
      <c r="D174" t="inlineStr">
        <is>
          <t>model</t>
        </is>
      </c>
      <c r="G174" s="6" t="n">
        <v>34832</v>
      </c>
      <c r="H174" t="n">
        <v>25</v>
      </c>
      <c r="I174" s="3" t="n">
        <v>43600</v>
      </c>
      <c r="J174">
        <f>IF(I174&gt;0,CEILING(I174*(1-Policy!$B$13/100),IF(I174&lt;10000,50,100)),"")</f>
        <v/>
      </c>
      <c r="K174">
        <f>IF(I174&gt;0,ROUNDUP(I174/Policy!$B$14*(1+Policy!$B$15/100),0),"")</f>
        <v/>
      </c>
      <c r="L174" t="n">
        <v>42</v>
      </c>
      <c r="M174" t="inlineStr">
        <is>
          <t>stroke 500 mm, Fs 129750 N</t>
        </is>
      </c>
    </row>
    <row r="175">
      <c r="A175" t="inlineStr">
        <is>
          <t>ED2.0X24</t>
        </is>
      </c>
      <c r="B175" t="inlineStr">
        <is>
          <t>ED 2.0 x 24</t>
        </is>
      </c>
      <c r="C175" t="inlineStr">
        <is>
          <t>ED</t>
        </is>
      </c>
      <c r="D175" t="inlineStr">
        <is>
          <t>model</t>
        </is>
      </c>
      <c r="G175" s="6" t="n">
        <v>35928</v>
      </c>
      <c r="H175" t="n">
        <v>25</v>
      </c>
      <c r="I175" s="3" t="n">
        <v>45000</v>
      </c>
      <c r="J175">
        <f>IF(I175&gt;0,CEILING(I175*(1-Policy!$B$13/100),IF(I175&lt;10000,50,100)),"")</f>
        <v/>
      </c>
      <c r="K175">
        <f>IF(I175&gt;0,ROUNDUP(I175/Policy!$B$14*(1+Policy!$B$15/100),0),"")</f>
        <v/>
      </c>
      <c r="L175" t="n">
        <v>42</v>
      </c>
      <c r="M175" t="inlineStr">
        <is>
          <t>stroke 600 mm, Fs 126667 N</t>
        </is>
      </c>
    </row>
    <row r="176">
      <c r="A176" t="inlineStr">
        <is>
          <t>ED3.5X10</t>
        </is>
      </c>
      <c r="B176" t="inlineStr">
        <is>
          <t>ED 3.5 x 10</t>
        </is>
      </c>
      <c r="C176" t="inlineStr">
        <is>
          <t>ED</t>
        </is>
      </c>
      <c r="D176" t="inlineStr">
        <is>
          <t>model</t>
        </is>
      </c>
      <c r="G176" s="6" t="n">
        <v>46027</v>
      </c>
      <c r="H176" t="n">
        <v>25</v>
      </c>
      <c r="I176" s="3" t="n">
        <v>57600</v>
      </c>
      <c r="J176">
        <f>IF(I176&gt;0,CEILING(I176*(1-Policy!$B$13/100),IF(I176&lt;10000,50,100)),"")</f>
        <v/>
      </c>
      <c r="K176">
        <f>IF(I176&gt;0,ROUNDUP(I176/Policy!$B$14*(1+Policy!$B$15/100),0),"")</f>
        <v/>
      </c>
      <c r="L176" t="n">
        <v>42</v>
      </c>
      <c r="M176" t="inlineStr">
        <is>
          <t>stroke 250 mm, Fs 304000 N</t>
        </is>
      </c>
    </row>
    <row r="177">
      <c r="A177" t="inlineStr">
        <is>
          <t>ED4.0X8</t>
        </is>
      </c>
      <c r="B177" t="inlineStr">
        <is>
          <t>ED 4.0 x 8</t>
        </is>
      </c>
      <c r="C177" t="inlineStr">
        <is>
          <t>ED</t>
        </is>
      </c>
      <c r="D177" t="inlineStr">
        <is>
          <t>model</t>
        </is>
      </c>
      <c r="G177" s="6" t="n">
        <v>49530</v>
      </c>
      <c r="H177" t="n">
        <v>25</v>
      </c>
      <c r="I177" s="3" t="n">
        <v>62000</v>
      </c>
      <c r="J177">
        <f>IF(I177&gt;0,CEILING(I177*(1-Policy!$B$13/100),IF(I177&lt;10000,50,100)),"")</f>
        <v/>
      </c>
      <c r="K177">
        <f>IF(I177&gt;0,ROUNDUP(I177/Policy!$B$14*(1+Policy!$B$15/100),0),"")</f>
        <v/>
      </c>
      <c r="L177" t="n">
        <v>42</v>
      </c>
      <c r="M177" t="inlineStr">
        <is>
          <t>stroke 200 mm, Fs 387500 N</t>
        </is>
      </c>
    </row>
    <row r="178">
      <c r="A178" t="inlineStr">
        <is>
          <t>ED3.0X14</t>
        </is>
      </c>
      <c r="B178" t="inlineStr">
        <is>
          <t>ED 3.0 x 14</t>
        </is>
      </c>
      <c r="C178" t="inlineStr">
        <is>
          <t>ED</t>
        </is>
      </c>
      <c r="D178" t="inlineStr">
        <is>
          <t>model</t>
        </is>
      </c>
      <c r="G178" s="6" t="n">
        <v>42595</v>
      </c>
      <c r="H178" t="n">
        <v>25</v>
      </c>
      <c r="I178" s="3" t="n">
        <v>53300</v>
      </c>
      <c r="J178">
        <f>IF(I178&gt;0,CEILING(I178*(1-Policy!$B$13/100),IF(I178&lt;10000,50,100)),"")</f>
        <v/>
      </c>
      <c r="K178">
        <f>IF(I178&gt;0,ROUNDUP(I178/Policy!$B$14*(1+Policy!$B$15/100),0),"")</f>
        <v/>
      </c>
      <c r="L178" t="n">
        <v>42</v>
      </c>
      <c r="M178" t="inlineStr">
        <is>
          <t>stroke 350 mm, Fs 224643 N</t>
        </is>
      </c>
    </row>
    <row r="179">
      <c r="A179" t="inlineStr">
        <is>
          <t>ED2.0X28</t>
        </is>
      </c>
      <c r="B179" t="inlineStr">
        <is>
          <t>ED 2.0 x 28</t>
        </is>
      </c>
      <c r="C179" t="inlineStr">
        <is>
          <t>ED</t>
        </is>
      </c>
      <c r="D179" t="inlineStr">
        <is>
          <t>model</t>
        </is>
      </c>
      <c r="G179" s="6" t="n">
        <v>36962</v>
      </c>
      <c r="H179" t="n">
        <v>25</v>
      </c>
      <c r="I179" s="3" t="n">
        <v>46300</v>
      </c>
      <c r="J179">
        <f>IF(I179&gt;0,CEILING(I179*(1-Policy!$B$13/100),IF(I179&lt;10000,50,100)),"")</f>
        <v/>
      </c>
      <c r="K179">
        <f>IF(I179&gt;0,ROUNDUP(I179/Policy!$B$14*(1+Policy!$B$15/100),0),"")</f>
        <v/>
      </c>
      <c r="L179" t="n">
        <v>42</v>
      </c>
      <c r="M179" t="inlineStr">
        <is>
          <t>stroke 700 mm, Fs 124643 N</t>
        </is>
      </c>
    </row>
    <row r="180">
      <c r="A180" t="inlineStr">
        <is>
          <t>ED3.0X16</t>
        </is>
      </c>
      <c r="B180" t="inlineStr">
        <is>
          <t>ED 3.0 x 16</t>
        </is>
      </c>
      <c r="C180" t="inlineStr">
        <is>
          <t>ED</t>
        </is>
      </c>
      <c r="D180" t="inlineStr">
        <is>
          <t>model</t>
        </is>
      </c>
      <c r="G180" s="6" t="n">
        <v>43498</v>
      </c>
      <c r="H180" t="n">
        <v>25</v>
      </c>
      <c r="I180" s="3" t="n">
        <v>54400</v>
      </c>
      <c r="J180">
        <f>IF(I180&gt;0,CEILING(I180*(1-Policy!$B$13/100),IF(I180&lt;10000,50,100)),"")</f>
        <v/>
      </c>
      <c r="K180">
        <f>IF(I180&gt;0,ROUNDUP(I180/Policy!$B$14*(1+Policy!$B$15/100),0),"")</f>
        <v/>
      </c>
      <c r="L180" t="n">
        <v>42</v>
      </c>
      <c r="M180" t="inlineStr">
        <is>
          <t>stroke 400 mm, Fs 220000 N</t>
        </is>
      </c>
    </row>
    <row r="181">
      <c r="A181" t="inlineStr">
        <is>
          <t>ED2.0X32</t>
        </is>
      </c>
      <c r="B181" t="inlineStr">
        <is>
          <t>ED 2.0 x 32</t>
        </is>
      </c>
      <c r="C181" t="inlineStr">
        <is>
          <t>ED</t>
        </is>
      </c>
      <c r="D181" t="inlineStr">
        <is>
          <t>model</t>
        </is>
      </c>
      <c r="G181" s="6" t="n">
        <v>35830</v>
      </c>
      <c r="H181" t="n">
        <v>25</v>
      </c>
      <c r="I181" s="3" t="n">
        <v>46300</v>
      </c>
      <c r="J181">
        <f>IF(I181&gt;0,CEILING(I181*(1-Policy!$B$13/100),IF(I181&lt;10000,50,100)),"")</f>
        <v/>
      </c>
      <c r="K181">
        <f>IF(I181&gt;0,ROUNDUP(I181/Policy!$B$14*(1+Policy!$B$15/100),0),"")</f>
        <v/>
      </c>
      <c r="L181" t="n">
        <v>42</v>
      </c>
      <c r="M181" t="inlineStr">
        <is>
          <t>stroke 800 mm, Fs 110469 N · raised to keep price rising with stroke</t>
        </is>
      </c>
    </row>
    <row r="182">
      <c r="A182" t="inlineStr">
        <is>
          <t>ED3.5X12</t>
        </is>
      </c>
      <c r="B182" t="inlineStr">
        <is>
          <t>ED 3.5 x 12</t>
        </is>
      </c>
      <c r="C182" t="inlineStr">
        <is>
          <t>ED</t>
        </is>
      </c>
      <c r="D182" t="inlineStr">
        <is>
          <t>model</t>
        </is>
      </c>
      <c r="G182" s="6" t="n">
        <v>47326</v>
      </c>
      <c r="H182" t="n">
        <v>25</v>
      </c>
      <c r="I182" s="3" t="n">
        <v>59200</v>
      </c>
      <c r="J182">
        <f>IF(I182&gt;0,CEILING(I182*(1-Policy!$B$13/100),IF(I182&lt;10000,50,100)),"")</f>
        <v/>
      </c>
      <c r="K182">
        <f>IF(I182&gt;0,ROUNDUP(I182/Policy!$B$14*(1+Policy!$B$15/100),0),"")</f>
        <v/>
      </c>
      <c r="L182" t="n">
        <v>42</v>
      </c>
      <c r="M182" t="inlineStr">
        <is>
          <t>stroke 300 mm, Fs 295000 N</t>
        </is>
      </c>
    </row>
    <row r="183">
      <c r="A183" t="inlineStr">
        <is>
          <t>ED4.0X10</t>
        </is>
      </c>
      <c r="B183" t="inlineStr">
        <is>
          <t>ED 4.0 x 10</t>
        </is>
      </c>
      <c r="C183" t="inlineStr">
        <is>
          <t>ED</t>
        </is>
      </c>
      <c r="D183" t="inlineStr">
        <is>
          <t>model</t>
        </is>
      </c>
      <c r="G183" s="6" t="n">
        <v>52098</v>
      </c>
      <c r="H183" t="n">
        <v>25</v>
      </c>
      <c r="I183" s="3" t="n">
        <v>65200</v>
      </c>
      <c r="J183">
        <f>IF(I183&gt;0,CEILING(I183*(1-Policy!$B$13/100),IF(I183&lt;10000,50,100)),"")</f>
        <v/>
      </c>
      <c r="K183">
        <f>IF(I183&gt;0,ROUNDUP(I183/Policy!$B$14*(1+Policy!$B$15/100),0),"")</f>
        <v/>
      </c>
      <c r="L183" t="n">
        <v>42</v>
      </c>
      <c r="M183" t="inlineStr">
        <is>
          <t>stroke 250 mm, Fs 385500 N</t>
        </is>
      </c>
    </row>
    <row r="184">
      <c r="A184" t="inlineStr">
        <is>
          <t>ED3.0X18</t>
        </is>
      </c>
      <c r="B184" t="inlineStr">
        <is>
          <t>ED 3.0 x 18</t>
        </is>
      </c>
      <c r="C184" t="inlineStr">
        <is>
          <t>ED</t>
        </is>
      </c>
      <c r="D184" t="inlineStr">
        <is>
          <t>model</t>
        </is>
      </c>
      <c r="G184" s="6" t="n">
        <v>44353</v>
      </c>
      <c r="H184" t="n">
        <v>25</v>
      </c>
      <c r="I184" s="3" t="n">
        <v>55500</v>
      </c>
      <c r="J184">
        <f>IF(I184&gt;0,CEILING(I184*(1-Policy!$B$13/100),IF(I184&lt;10000,50,100)),"")</f>
        <v/>
      </c>
      <c r="K184">
        <f>IF(I184&gt;0,ROUNDUP(I184/Policy!$B$14*(1+Policy!$B$15/100),0),"")</f>
        <v/>
      </c>
      <c r="L184" t="n">
        <v>42</v>
      </c>
      <c r="M184" t="inlineStr">
        <is>
          <t>stroke 450 mm, Fs 216389 N</t>
        </is>
      </c>
    </row>
    <row r="185">
      <c r="A185" t="inlineStr">
        <is>
          <t>ED3.0X20</t>
        </is>
      </c>
      <c r="B185" t="inlineStr">
        <is>
          <t>ED 3.0 x 20</t>
        </is>
      </c>
      <c r="C185" t="inlineStr">
        <is>
          <t>ED</t>
        </is>
      </c>
      <c r="D185" t="inlineStr">
        <is>
          <t>model</t>
        </is>
      </c>
      <c r="G185" s="6" t="n">
        <v>45164</v>
      </c>
      <c r="H185" t="n">
        <v>25</v>
      </c>
      <c r="I185" s="3" t="n">
        <v>56500</v>
      </c>
      <c r="J185">
        <f>IF(I185&gt;0,CEILING(I185*(1-Policy!$B$13/100),IF(I185&lt;10000,50,100)),"")</f>
        <v/>
      </c>
      <c r="K185">
        <f>IF(I185&gt;0,ROUNDUP(I185/Policy!$B$14*(1+Policy!$B$15/100),0),"")</f>
        <v/>
      </c>
      <c r="L185" t="n">
        <v>42</v>
      </c>
      <c r="M185" t="inlineStr">
        <is>
          <t>stroke 500 mm, Fs 213500 N</t>
        </is>
      </c>
    </row>
    <row r="186">
      <c r="A186" t="inlineStr">
        <is>
          <t>ED3.5X16</t>
        </is>
      </c>
      <c r="B186" t="inlineStr">
        <is>
          <t>ED 3.5 x 16</t>
        </is>
      </c>
      <c r="C186" t="inlineStr">
        <is>
          <t>ED</t>
        </is>
      </c>
      <c r="D186" t="inlineStr">
        <is>
          <t>model</t>
        </is>
      </c>
      <c r="G186" s="6" t="n">
        <v>49586</v>
      </c>
      <c r="H186" t="n">
        <v>25</v>
      </c>
      <c r="I186" s="3" t="n">
        <v>62000</v>
      </c>
      <c r="J186">
        <f>IF(I186&gt;0,CEILING(I186*(1-Policy!$B$13/100),IF(I186&lt;10000,50,100)),"")</f>
        <v/>
      </c>
      <c r="K186">
        <f>IF(I186&gt;0,ROUNDUP(I186/Policy!$B$14*(1+Policy!$B$15/100),0),"")</f>
        <v/>
      </c>
      <c r="L186" t="n">
        <v>42</v>
      </c>
      <c r="M186" t="inlineStr">
        <is>
          <t>stroke 400 mm, Fs 282812 N</t>
        </is>
      </c>
    </row>
    <row r="187">
      <c r="A187" t="inlineStr">
        <is>
          <t>ED4.0X12</t>
        </is>
      </c>
      <c r="B187" t="inlineStr">
        <is>
          <t>ED 4.0 x 12</t>
        </is>
      </c>
      <c r="C187" t="inlineStr">
        <is>
          <t>ED</t>
        </is>
      </c>
      <c r="D187" t="inlineStr">
        <is>
          <t>model</t>
        </is>
      </c>
      <c r="G187" s="6" t="n">
        <v>54439</v>
      </c>
      <c r="H187" t="n">
        <v>25</v>
      </c>
      <c r="I187" s="3" t="n">
        <v>68100</v>
      </c>
      <c r="J187">
        <f>IF(I187&gt;0,CEILING(I187*(1-Policy!$B$13/100),IF(I187&lt;10000,50,100)),"")</f>
        <v/>
      </c>
      <c r="K187">
        <f>IF(I187&gt;0,ROUNDUP(I187/Policy!$B$14*(1+Policy!$B$15/100),0),"")</f>
        <v/>
      </c>
      <c r="L187" t="n">
        <v>42</v>
      </c>
      <c r="M187" t="inlineStr">
        <is>
          <t>stroke 300 mm, Fs 385833 N</t>
        </is>
      </c>
    </row>
    <row r="188">
      <c r="A188" t="inlineStr">
        <is>
          <t>ED3.0X24</t>
        </is>
      </c>
      <c r="B188" t="inlineStr">
        <is>
          <t>ED 3.0 x 24</t>
        </is>
      </c>
      <c r="C188" t="inlineStr">
        <is>
          <t>ED</t>
        </is>
      </c>
      <c r="D188" t="inlineStr">
        <is>
          <t>model</t>
        </is>
      </c>
      <c r="G188" s="6" t="n">
        <v>46646</v>
      </c>
      <c r="H188" t="n">
        <v>25</v>
      </c>
      <c r="I188" s="3" t="n">
        <v>58400</v>
      </c>
      <c r="J188">
        <f>IF(I188&gt;0,CEILING(I188*(1-Policy!$B$13/100),IF(I188&lt;10000,50,100)),"")</f>
        <v/>
      </c>
      <c r="K188">
        <f>IF(I188&gt;0,ROUNDUP(I188/Policy!$B$14*(1+Policy!$B$15/100),0),"")</f>
        <v/>
      </c>
      <c r="L188" t="n">
        <v>42</v>
      </c>
      <c r="M188" t="inlineStr">
        <is>
          <t>stroke 600 mm, Fs 208958 N</t>
        </is>
      </c>
    </row>
    <row r="189">
      <c r="A189" t="inlineStr">
        <is>
          <t>ED2.0X36</t>
        </is>
      </c>
      <c r="B189" t="inlineStr">
        <is>
          <t>ED 2.0 x 36</t>
        </is>
      </c>
      <c r="C189" t="inlineStr">
        <is>
          <t>ED</t>
        </is>
      </c>
      <c r="D189" t="inlineStr">
        <is>
          <t>model</t>
        </is>
      </c>
      <c r="G189" s="6" t="n">
        <v>41784</v>
      </c>
      <c r="H189" t="n">
        <v>25</v>
      </c>
      <c r="I189" s="3" t="n">
        <v>52300</v>
      </c>
      <c r="J189">
        <f>IF(I189&gt;0,CEILING(I189*(1-Policy!$B$13/100),IF(I189&lt;10000,50,100)),"")</f>
        <v/>
      </c>
      <c r="K189">
        <f>IF(I189&gt;0,ROUNDUP(I189/Policy!$B$14*(1+Policy!$B$15/100),0),"")</f>
        <v/>
      </c>
      <c r="L189" t="n">
        <v>42</v>
      </c>
      <c r="M189" t="inlineStr">
        <is>
          <t>stroke 900 mm, Fs 140556 N</t>
        </is>
      </c>
    </row>
    <row r="190">
      <c r="A190" t="inlineStr">
        <is>
          <t>ED2.0X40</t>
        </is>
      </c>
      <c r="B190" t="inlineStr">
        <is>
          <t>ED 2.0 x 40</t>
        </is>
      </c>
      <c r="C190" t="inlineStr">
        <is>
          <t>ED</t>
        </is>
      </c>
      <c r="D190" t="inlineStr">
        <is>
          <t>model</t>
        </is>
      </c>
      <c r="G190" s="6" t="n">
        <v>40599</v>
      </c>
      <c r="H190" t="n">
        <v>25</v>
      </c>
      <c r="I190" s="3" t="n">
        <v>52300</v>
      </c>
      <c r="J190">
        <f>IF(I190&gt;0,CEILING(I190*(1-Policy!$B$13/100),IF(I190&lt;10000,50,100)),"")</f>
        <v/>
      </c>
      <c r="K190">
        <f>IF(I190&gt;0,ROUNDUP(I190/Policy!$B$14*(1+Policy!$B$15/100),0),"")</f>
        <v/>
      </c>
      <c r="L190" t="n">
        <v>42</v>
      </c>
      <c r="M190" t="inlineStr">
        <is>
          <t>stroke 1000 mm, Fs 126750 N · raised to keep price rising with stroke</t>
        </is>
      </c>
    </row>
    <row r="191">
      <c r="A191" t="inlineStr">
        <is>
          <t>ED2.0X48</t>
        </is>
      </c>
      <c r="B191" t="inlineStr">
        <is>
          <t>ED 2.0 x 48</t>
        </is>
      </c>
      <c r="C191" t="inlineStr">
        <is>
          <t>ED</t>
        </is>
      </c>
      <c r="D191" t="inlineStr">
        <is>
          <t>model</t>
        </is>
      </c>
      <c r="G191" s="6" t="n">
        <v>41080</v>
      </c>
      <c r="H191" t="n">
        <v>25</v>
      </c>
      <c r="I191" s="3" t="n">
        <v>52300</v>
      </c>
      <c r="J191">
        <f>IF(I191&gt;0,CEILING(I191*(1-Policy!$B$13/100),IF(I191&lt;10000,50,100)),"")</f>
        <v/>
      </c>
      <c r="K191">
        <f>IF(I191&gt;0,ROUNDUP(I191/Policy!$B$14*(1+Policy!$B$15/100),0),"")</f>
        <v/>
      </c>
      <c r="L191" t="n">
        <v>42</v>
      </c>
      <c r="M191" t="inlineStr">
        <is>
          <t>stroke 1200 mm, Fs 119271 N · raised to keep price rising with stroke</t>
        </is>
      </c>
    </row>
    <row r="192">
      <c r="A192" t="inlineStr">
        <is>
          <t>ED3.0X28</t>
        </is>
      </c>
      <c r="B192" t="inlineStr">
        <is>
          <t>ED 3.0 x 28</t>
        </is>
      </c>
      <c r="C192" t="inlineStr">
        <is>
          <t>ED</t>
        </is>
      </c>
      <c r="D192" t="inlineStr">
        <is>
          <t>model</t>
        </is>
      </c>
      <c r="G192" s="6" t="n">
        <v>48023</v>
      </c>
      <c r="H192" t="n">
        <v>25</v>
      </c>
      <c r="I192" s="3" t="n">
        <v>60100</v>
      </c>
      <c r="J192">
        <f>IF(I192&gt;0,CEILING(I192*(1-Policy!$B$13/100),IF(I192&lt;10000,50,100)),"")</f>
        <v/>
      </c>
      <c r="K192">
        <f>IF(I192&gt;0,ROUNDUP(I192/Policy!$B$14*(1+Policy!$B$15/100),0),"")</f>
        <v/>
      </c>
      <c r="L192" t="n">
        <v>42</v>
      </c>
      <c r="M192" t="inlineStr">
        <is>
          <t>stroke 700 mm, Fs 205893 N</t>
        </is>
      </c>
    </row>
    <row r="193">
      <c r="A193" t="inlineStr">
        <is>
          <t>ED3.5X20</t>
        </is>
      </c>
      <c r="B193" t="inlineStr">
        <is>
          <t>ED 3.5 x 20</t>
        </is>
      </c>
      <c r="C193" t="inlineStr">
        <is>
          <t>ED</t>
        </is>
      </c>
      <c r="D193" t="inlineStr">
        <is>
          <t>model</t>
        </is>
      </c>
      <c r="G193" s="6" t="n">
        <v>53650</v>
      </c>
      <c r="H193" t="n">
        <v>25</v>
      </c>
      <c r="I193" s="3" t="n">
        <v>67100</v>
      </c>
      <c r="J193">
        <f>IF(I193&gt;0,CEILING(I193*(1-Policy!$B$13/100),IF(I193&lt;10000,50,100)),"")</f>
        <v/>
      </c>
      <c r="K193">
        <f>IF(I193&gt;0,ROUNDUP(I193/Policy!$B$14*(1+Policy!$B$15/100),0),"")</f>
        <v/>
      </c>
      <c r="L193" t="n">
        <v>42</v>
      </c>
      <c r="M193" t="inlineStr">
        <is>
          <t>stroke 500 mm, Fs 297000 N</t>
        </is>
      </c>
    </row>
    <row r="194">
      <c r="A194" t="inlineStr">
        <is>
          <t>ED4.0X16</t>
        </is>
      </c>
      <c r="B194" t="inlineStr">
        <is>
          <t>ED 4.0 x 16</t>
        </is>
      </c>
      <c r="C194" t="inlineStr">
        <is>
          <t>ED</t>
        </is>
      </c>
      <c r="D194" t="inlineStr">
        <is>
          <t>model</t>
        </is>
      </c>
      <c r="G194" s="6" t="n">
        <v>58216</v>
      </c>
      <c r="H194" t="n">
        <v>25</v>
      </c>
      <c r="I194" s="3" t="n">
        <v>72800</v>
      </c>
      <c r="J194">
        <f>IF(I194&gt;0,CEILING(I194*(1-Policy!$B$13/100),IF(I194&lt;10000,50,100)),"")</f>
        <v/>
      </c>
      <c r="K194">
        <f>IF(I194&gt;0,ROUNDUP(I194/Policy!$B$14*(1+Policy!$B$15/100),0),"")</f>
        <v/>
      </c>
      <c r="L194" t="n">
        <v>42</v>
      </c>
      <c r="M194" t="inlineStr">
        <is>
          <t>stroke 400 mm, Fs 384688 N</t>
        </is>
      </c>
    </row>
    <row r="195">
      <c r="A195" t="inlineStr">
        <is>
          <t>ED2.0X56</t>
        </is>
      </c>
      <c r="B195" t="inlineStr">
        <is>
          <t>ED 2.0 x 56</t>
        </is>
      </c>
      <c r="C195" t="inlineStr">
        <is>
          <t>ED</t>
        </is>
      </c>
      <c r="D195" t="inlineStr">
        <is>
          <t>model</t>
        </is>
      </c>
      <c r="G195" s="6" t="n">
        <v>41168</v>
      </c>
      <c r="H195" t="n">
        <v>25</v>
      </c>
      <c r="I195" s="3" t="n">
        <v>52300</v>
      </c>
      <c r="J195">
        <f>IF(I195&gt;0,CEILING(I195*(1-Policy!$B$13/100),IF(I195&lt;10000,50,100)),"")</f>
        <v/>
      </c>
      <c r="K195">
        <f>IF(I195&gt;0,ROUNDUP(I195/Policy!$B$14*(1+Policy!$B$15/100),0),"")</f>
        <v/>
      </c>
      <c r="L195" t="n">
        <v>42</v>
      </c>
      <c r="M195" t="inlineStr">
        <is>
          <t>stroke 1400 mm, Fs 111607 N · raised to keep price rising with stroke</t>
        </is>
      </c>
    </row>
    <row r="196">
      <c r="A196" t="inlineStr">
        <is>
          <t>ED3.0X32</t>
        </is>
      </c>
      <c r="B196" t="inlineStr">
        <is>
          <t>ED 3.0 x 32</t>
        </is>
      </c>
      <c r="C196" t="inlineStr">
        <is>
          <t>ED</t>
        </is>
      </c>
      <c r="D196" t="inlineStr">
        <is>
          <t>model</t>
        </is>
      </c>
      <c r="G196" s="6" t="n">
        <v>49268</v>
      </c>
      <c r="H196" t="n">
        <v>25</v>
      </c>
      <c r="I196" s="3" t="n">
        <v>61600</v>
      </c>
      <c r="J196">
        <f>IF(I196&gt;0,CEILING(I196*(1-Policy!$B$13/100),IF(I196&lt;10000,50,100)),"")</f>
        <v/>
      </c>
      <c r="K196">
        <f>IF(I196&gt;0,ROUNDUP(I196/Policy!$B$14*(1+Policy!$B$15/100),0),"")</f>
        <v/>
      </c>
      <c r="L196" t="n">
        <v>42</v>
      </c>
      <c r="M196" t="inlineStr">
        <is>
          <t>stroke 800 mm, Fs 203438 N</t>
        </is>
      </c>
    </row>
    <row r="197">
      <c r="A197" t="inlineStr">
        <is>
          <t>ED3.5X24</t>
        </is>
      </c>
      <c r="B197" t="inlineStr">
        <is>
          <t>ED 3.5 x 24</t>
        </is>
      </c>
      <c r="C197" t="inlineStr">
        <is>
          <t>ED</t>
        </is>
      </c>
      <c r="D197" t="inlineStr">
        <is>
          <t>model</t>
        </is>
      </c>
      <c r="G197" s="6" t="n">
        <v>55239</v>
      </c>
      <c r="H197" t="n">
        <v>25</v>
      </c>
      <c r="I197" s="3" t="n">
        <v>69100</v>
      </c>
      <c r="J197">
        <f>IF(I197&gt;0,CEILING(I197*(1-Policy!$B$13/100),IF(I197&lt;10000,50,100)),"")</f>
        <v/>
      </c>
      <c r="K197">
        <f>IF(I197&gt;0,ROUNDUP(I197/Policy!$B$14*(1+Policy!$B$15/100),0),"")</f>
        <v/>
      </c>
      <c r="L197" t="n">
        <v>42</v>
      </c>
      <c r="M197" t="inlineStr">
        <is>
          <t>stroke 600 mm, Fs 288958 N</t>
        </is>
      </c>
    </row>
    <row r="198">
      <c r="A198" t="inlineStr">
        <is>
          <t>ED3.0X36</t>
        </is>
      </c>
      <c r="B198" t="inlineStr">
        <is>
          <t>ED 3.0 x 36</t>
        </is>
      </c>
      <c r="C198" t="inlineStr">
        <is>
          <t>ED</t>
        </is>
      </c>
      <c r="D198" t="inlineStr">
        <is>
          <t>model</t>
        </is>
      </c>
      <c r="G198" s="6" t="n">
        <v>50893</v>
      </c>
      <c r="H198" t="n">
        <v>25</v>
      </c>
      <c r="I198" s="3" t="n">
        <v>63700</v>
      </c>
      <c r="J198">
        <f>IF(I198&gt;0,CEILING(I198*(1-Policy!$B$13/100),IF(I198&lt;10000,50,100)),"")</f>
        <v/>
      </c>
      <c r="K198">
        <f>IF(I198&gt;0,ROUNDUP(I198/Policy!$B$14*(1+Policy!$B$15/100),0),"")</f>
        <v/>
      </c>
      <c r="L198" t="n">
        <v>42</v>
      </c>
      <c r="M198" t="inlineStr">
        <is>
          <t>stroke 900 mm, Fs 205139 N</t>
        </is>
      </c>
    </row>
    <row r="199">
      <c r="A199" t="inlineStr">
        <is>
          <t>ED4.0X20</t>
        </is>
      </c>
      <c r="B199" t="inlineStr">
        <is>
          <t>ED 4.0 x 20</t>
        </is>
      </c>
      <c r="C199" t="inlineStr">
        <is>
          <t>ED</t>
        </is>
      </c>
      <c r="D199" t="inlineStr">
        <is>
          <t>model</t>
        </is>
      </c>
      <c r="G199" s="6" t="n">
        <v>61426</v>
      </c>
      <c r="H199" t="n">
        <v>25</v>
      </c>
      <c r="I199" s="3" t="n">
        <v>76800</v>
      </c>
      <c r="J199">
        <f>IF(I199&gt;0,CEILING(I199*(1-Policy!$B$13/100),IF(I199&lt;10000,50,100)),"")</f>
        <v/>
      </c>
      <c r="K199">
        <f>IF(I199&gt;0,ROUNDUP(I199/Policy!$B$14*(1+Policy!$B$15/100),0),"")</f>
        <v/>
      </c>
      <c r="L199" t="n">
        <v>42</v>
      </c>
      <c r="M199" t="inlineStr">
        <is>
          <t>stroke 500 mm, Fs 385000 N</t>
        </is>
      </c>
    </row>
    <row r="200">
      <c r="A200" t="inlineStr">
        <is>
          <t>ED3.5X28</t>
        </is>
      </c>
      <c r="B200" t="inlineStr">
        <is>
          <t>ED 3.5 x 28</t>
        </is>
      </c>
      <c r="C200" t="inlineStr">
        <is>
          <t>ED</t>
        </is>
      </c>
      <c r="D200" t="inlineStr">
        <is>
          <t>model</t>
        </is>
      </c>
      <c r="G200" s="6" t="n">
        <v>56693</v>
      </c>
      <c r="H200" t="n">
        <v>25</v>
      </c>
      <c r="I200" s="3" t="n">
        <v>70900</v>
      </c>
      <c r="J200">
        <f>IF(I200&gt;0,CEILING(I200*(1-Policy!$B$13/100),IF(I200&lt;10000,50,100)),"")</f>
        <v/>
      </c>
      <c r="K200">
        <f>IF(I200&gt;0,ROUNDUP(I200/Policy!$B$14*(1+Policy!$B$15/100),0),"")</f>
        <v/>
      </c>
      <c r="L200" t="n">
        <v>42</v>
      </c>
      <c r="M200" t="inlineStr">
        <is>
          <t>stroke 700 mm, Fs 283036 N</t>
        </is>
      </c>
    </row>
    <row r="201">
      <c r="A201" t="inlineStr">
        <is>
          <t>ED3.0X40</t>
        </is>
      </c>
      <c r="B201" t="inlineStr">
        <is>
          <t>ED 3.0 x 40</t>
        </is>
      </c>
      <c r="C201" t="inlineStr">
        <is>
          <t>ED</t>
        </is>
      </c>
      <c r="D201" t="inlineStr">
        <is>
          <t>model</t>
        </is>
      </c>
      <c r="G201" s="6" t="n">
        <v>51435</v>
      </c>
      <c r="H201" t="n">
        <v>25</v>
      </c>
      <c r="I201" s="3" t="n">
        <v>64300</v>
      </c>
      <c r="J201">
        <f>IF(I201&gt;0,CEILING(I201*(1-Policy!$B$13/100),IF(I201&lt;10000,50,100)),"")</f>
        <v/>
      </c>
      <c r="K201">
        <f>IF(I201&gt;0,ROUNDUP(I201/Policy!$B$14*(1+Policy!$B$15/100),0),"")</f>
        <v/>
      </c>
      <c r="L201" t="n">
        <v>42</v>
      </c>
      <c r="M201" t="inlineStr">
        <is>
          <t>stroke 1000 mm, Fs 199500 N</t>
        </is>
      </c>
    </row>
    <row r="202">
      <c r="A202" t="inlineStr">
        <is>
          <t>ED3.5X32</t>
        </is>
      </c>
      <c r="B202" t="inlineStr">
        <is>
          <t>ED 3.5 x 32</t>
        </is>
      </c>
      <c r="C202" t="inlineStr">
        <is>
          <t>ED</t>
        </is>
      </c>
      <c r="D202" t="inlineStr">
        <is>
          <t>model</t>
        </is>
      </c>
      <c r="G202" s="6" t="n">
        <v>58064</v>
      </c>
      <c r="H202" t="n">
        <v>25</v>
      </c>
      <c r="I202" s="3" t="n">
        <v>72600</v>
      </c>
      <c r="J202">
        <f>IF(I202&gt;0,CEILING(I202*(1-Policy!$B$13/100),IF(I202&lt;10000,50,100)),"")</f>
        <v/>
      </c>
      <c r="K202">
        <f>IF(I202&gt;0,ROUNDUP(I202/Policy!$B$14*(1+Policy!$B$15/100),0),"")</f>
        <v/>
      </c>
      <c r="L202" t="n">
        <v>42</v>
      </c>
      <c r="M202" t="inlineStr">
        <is>
          <t>stroke 800 mm, Fs 278750 N</t>
        </is>
      </c>
    </row>
    <row r="203">
      <c r="A203" t="inlineStr">
        <is>
          <t>ED3.0X48</t>
        </is>
      </c>
      <c r="B203" t="inlineStr">
        <is>
          <t>ED 3.0 x 48</t>
        </is>
      </c>
      <c r="C203" t="inlineStr">
        <is>
          <t>ED</t>
        </is>
      </c>
      <c r="D203" t="inlineStr">
        <is>
          <t>model</t>
        </is>
      </c>
      <c r="G203" s="6" t="n">
        <v>51967</v>
      </c>
      <c r="H203" t="n">
        <v>25</v>
      </c>
      <c r="I203" s="3" t="n">
        <v>65000</v>
      </c>
      <c r="J203">
        <f>IF(I203&gt;0,CEILING(I203*(1-Policy!$B$13/100),IF(I203&lt;10000,50,100)),"")</f>
        <v/>
      </c>
      <c r="K203">
        <f>IF(I203&gt;0,ROUNDUP(I203/Policy!$B$14*(1+Policy!$B$15/100),0),"")</f>
        <v/>
      </c>
      <c r="L203" t="n">
        <v>42</v>
      </c>
      <c r="M203" t="inlineStr">
        <is>
          <t>stroke 1200 mm, Fs 187188 N</t>
        </is>
      </c>
    </row>
    <row r="204">
      <c r="A204" t="inlineStr">
        <is>
          <t>ED4.0X24</t>
        </is>
      </c>
      <c r="B204" t="inlineStr">
        <is>
          <t>ED 4.0 x 24</t>
        </is>
      </c>
      <c r="C204" t="inlineStr">
        <is>
          <t>ED</t>
        </is>
      </c>
      <c r="D204" t="inlineStr">
        <is>
          <t>model</t>
        </is>
      </c>
      <c r="G204" s="6" t="n">
        <v>64157</v>
      </c>
      <c r="H204" t="n">
        <v>25</v>
      </c>
      <c r="I204" s="3" t="n">
        <v>80200</v>
      </c>
      <c r="J204">
        <f>IF(I204&gt;0,CEILING(I204*(1-Policy!$B$13/100),IF(I204&lt;10000,50,100)),"")</f>
        <v/>
      </c>
      <c r="K204">
        <f>IF(I204&gt;0,ROUNDUP(I204/Policy!$B$14*(1+Policy!$B$15/100),0),"")</f>
        <v/>
      </c>
      <c r="L204" t="n">
        <v>42</v>
      </c>
      <c r="M204" t="inlineStr">
        <is>
          <t>stroke 600 mm, Fs 385000 N</t>
        </is>
      </c>
    </row>
    <row r="205">
      <c r="A205" t="inlineStr">
        <is>
          <t>ED3.0X56</t>
        </is>
      </c>
      <c r="B205" t="inlineStr">
        <is>
          <t>ED 3.0 x 56</t>
        </is>
      </c>
      <c r="C205" t="inlineStr">
        <is>
          <t>ED</t>
        </is>
      </c>
      <c r="D205" t="inlineStr">
        <is>
          <t>model</t>
        </is>
      </c>
      <c r="G205" s="6" t="n">
        <v>52150</v>
      </c>
      <c r="H205" t="n">
        <v>25</v>
      </c>
      <c r="I205" s="3" t="n">
        <v>65200</v>
      </c>
      <c r="J205">
        <f>IF(I205&gt;0,CEILING(I205*(1-Policy!$B$13/100),IF(I205&lt;10000,50,100)),"")</f>
        <v/>
      </c>
      <c r="K205">
        <f>IF(I205&gt;0,ROUNDUP(I205/Policy!$B$14*(1+Policy!$B$15/100),0),"")</f>
        <v/>
      </c>
      <c r="L205" t="n">
        <v>42</v>
      </c>
      <c r="M205" t="inlineStr">
        <is>
          <t>stroke 1400 mm, Fs 175625 N</t>
        </is>
      </c>
    </row>
    <row r="206">
      <c r="A206" t="inlineStr">
        <is>
          <t>ED3.5X36</t>
        </is>
      </c>
      <c r="B206" t="inlineStr">
        <is>
          <t>ED 3.5 x 36</t>
        </is>
      </c>
      <c r="C206" t="inlineStr">
        <is>
          <t>ED</t>
        </is>
      </c>
      <c r="D206" t="inlineStr">
        <is>
          <t>model</t>
        </is>
      </c>
      <c r="G206" s="6" t="n">
        <v>59346</v>
      </c>
      <c r="H206" t="n">
        <v>25</v>
      </c>
      <c r="I206" s="3" t="n">
        <v>74200</v>
      </c>
      <c r="J206">
        <f>IF(I206&gt;0,CEILING(I206*(1-Policy!$B$13/100),IF(I206&lt;10000,50,100)),"")</f>
        <v/>
      </c>
      <c r="K206">
        <f>IF(I206&gt;0,ROUNDUP(I206/Policy!$B$14*(1+Policy!$B$15/100),0),"")</f>
        <v/>
      </c>
      <c r="L206" t="n">
        <v>42</v>
      </c>
      <c r="M206" t="inlineStr">
        <is>
          <t>stroke 900 mm, Fs 275417 N</t>
        </is>
      </c>
    </row>
    <row r="207">
      <c r="A207" t="inlineStr">
        <is>
          <t>ED3.0X60</t>
        </is>
      </c>
      <c r="B207" t="inlineStr">
        <is>
          <t>ED 3.0 x 60</t>
        </is>
      </c>
      <c r="C207" t="inlineStr">
        <is>
          <t>ED</t>
        </is>
      </c>
      <c r="D207" t="inlineStr">
        <is>
          <t>model</t>
        </is>
      </c>
      <c r="G207" s="6" t="n">
        <v>52495</v>
      </c>
      <c r="H207" t="n">
        <v>25</v>
      </c>
      <c r="I207" s="3" t="n">
        <v>65700</v>
      </c>
      <c r="J207">
        <f>IF(I207&gt;0,CEILING(I207*(1-Policy!$B$13/100),IF(I207&lt;10000,50,100)),"")</f>
        <v/>
      </c>
      <c r="K207">
        <f>IF(I207&gt;0,ROUNDUP(I207/Policy!$B$14*(1+Policy!$B$15/100),0),"")</f>
        <v/>
      </c>
      <c r="L207" t="n">
        <v>42</v>
      </c>
      <c r="M207" t="inlineStr">
        <is>
          <t>stroke 1500 mm, Fs 172333 N</t>
        </is>
      </c>
    </row>
    <row r="208">
      <c r="A208" t="inlineStr">
        <is>
          <t>ED4.0X28</t>
        </is>
      </c>
      <c r="B208" t="inlineStr">
        <is>
          <t>ED 4.0 x 28</t>
        </is>
      </c>
      <c r="C208" t="inlineStr">
        <is>
          <t>ED</t>
        </is>
      </c>
      <c r="D208" t="inlineStr">
        <is>
          <t>model</t>
        </is>
      </c>
      <c r="G208" s="6" t="n">
        <v>66481</v>
      </c>
      <c r="H208" t="n">
        <v>25</v>
      </c>
      <c r="I208" s="3" t="n">
        <v>83200</v>
      </c>
      <c r="J208">
        <f>IF(I208&gt;0,CEILING(I208*(1-Policy!$B$13/100),IF(I208&lt;10000,50,100)),"")</f>
        <v/>
      </c>
      <c r="K208">
        <f>IF(I208&gt;0,ROUNDUP(I208/Policy!$B$14*(1+Policy!$B$15/100),0),"")</f>
        <v/>
      </c>
      <c r="L208" t="n">
        <v>42</v>
      </c>
      <c r="M208" t="inlineStr">
        <is>
          <t>stroke 700 mm, Fs 384107 N</t>
        </is>
      </c>
    </row>
    <row r="209">
      <c r="A209" t="inlineStr">
        <is>
          <t>ED3.5X40</t>
        </is>
      </c>
      <c r="B209" t="inlineStr">
        <is>
          <t>ED 3.5 x 40</t>
        </is>
      </c>
      <c r="C209" t="inlineStr">
        <is>
          <t>ED</t>
        </is>
      </c>
      <c r="D209" t="inlineStr">
        <is>
          <t>model</t>
        </is>
      </c>
      <c r="G209" s="6" t="n">
        <v>60346</v>
      </c>
      <c r="H209" t="n">
        <v>25</v>
      </c>
      <c r="I209" s="3" t="n">
        <v>75500</v>
      </c>
      <c r="J209">
        <f>IF(I209&gt;0,CEILING(I209*(1-Policy!$B$13/100),IF(I209&lt;10000,50,100)),"")</f>
        <v/>
      </c>
      <c r="K209">
        <f>IF(I209&gt;0,ROUNDUP(I209/Policy!$B$14*(1+Policy!$B$15/100),0),"")</f>
        <v/>
      </c>
      <c r="L209" t="n">
        <v>42</v>
      </c>
      <c r="M209" t="inlineStr">
        <is>
          <t>stroke 1000 mm, Fs 271000 N</t>
        </is>
      </c>
    </row>
    <row r="210">
      <c r="A210" t="inlineStr">
        <is>
          <t>ED3.0X64</t>
        </is>
      </c>
      <c r="B210" t="inlineStr">
        <is>
          <t>ED 3.0 x 64</t>
        </is>
      </c>
      <c r="C210" t="inlineStr">
        <is>
          <t>ED</t>
        </is>
      </c>
      <c r="D210" t="inlineStr">
        <is>
          <t>model</t>
        </is>
      </c>
      <c r="G210" s="6" t="n">
        <v>52676</v>
      </c>
      <c r="H210" t="n">
        <v>25</v>
      </c>
      <c r="I210" s="3" t="n">
        <v>65900</v>
      </c>
      <c r="J210">
        <f>IF(I210&gt;0,CEILING(I210*(1-Policy!$B$13/100),IF(I210&lt;10000,50,100)),"")</f>
        <v/>
      </c>
      <c r="K210">
        <f>IF(I210&gt;0,ROUNDUP(I210/Policy!$B$14*(1+Policy!$B$15/100),0),"")</f>
        <v/>
      </c>
      <c r="L210" t="n">
        <v>42</v>
      </c>
      <c r="M210" t="inlineStr">
        <is>
          <t>stroke 1629 mm, Fs 167050 N</t>
        </is>
      </c>
    </row>
    <row r="211">
      <c r="A211" t="inlineStr">
        <is>
          <t>ED3.0X72</t>
        </is>
      </c>
      <c r="B211" t="inlineStr">
        <is>
          <t>ED 3.0 x 72</t>
        </is>
      </c>
      <c r="C211" t="inlineStr">
        <is>
          <t>ED</t>
        </is>
      </c>
      <c r="D211" t="inlineStr">
        <is>
          <t>model</t>
        </is>
      </c>
      <c r="G211" s="6" t="n">
        <v>53397</v>
      </c>
      <c r="H211" t="n">
        <v>25</v>
      </c>
      <c r="I211" s="3" t="n">
        <v>66800</v>
      </c>
      <c r="J211">
        <f>IF(I211&gt;0,CEILING(I211*(1-Policy!$B$13/100),IF(I211&lt;10000,50,100)),"")</f>
        <v/>
      </c>
      <c r="K211">
        <f>IF(I211&gt;0,ROUNDUP(I211/Policy!$B$14*(1+Policy!$B$15/100),0),"")</f>
        <v/>
      </c>
      <c r="L211" t="n">
        <v>42</v>
      </c>
      <c r="M211" t="inlineStr">
        <is>
          <t>stroke 1830 mm, Fs 162568 N</t>
        </is>
      </c>
    </row>
    <row r="212">
      <c r="A212" t="inlineStr">
        <is>
          <t>ED4.0X32</t>
        </is>
      </c>
      <c r="B212" t="inlineStr">
        <is>
          <t>ED 4.0 x 32</t>
        </is>
      </c>
      <c r="C212" t="inlineStr">
        <is>
          <t>ED</t>
        </is>
      </c>
      <c r="D212" t="inlineStr">
        <is>
          <t>model</t>
        </is>
      </c>
      <c r="G212" s="6" t="n">
        <v>67853</v>
      </c>
      <c r="H212" t="n">
        <v>25</v>
      </c>
      <c r="I212" s="3" t="n">
        <v>84900</v>
      </c>
      <c r="J212">
        <f>IF(I212&gt;0,CEILING(I212*(1-Policy!$B$13/100),IF(I212&lt;10000,50,100)),"")</f>
        <v/>
      </c>
      <c r="K212">
        <f>IF(I212&gt;0,ROUNDUP(I212/Policy!$B$14*(1+Policy!$B$15/100),0),"")</f>
        <v/>
      </c>
      <c r="L212" t="n">
        <v>42</v>
      </c>
      <c r="M212" t="inlineStr">
        <is>
          <t>stroke 800 mm, Fs 375781 N</t>
        </is>
      </c>
    </row>
    <row r="213">
      <c r="A213" t="inlineStr">
        <is>
          <t>ED3.5X48</t>
        </is>
      </c>
      <c r="B213" t="inlineStr">
        <is>
          <t>ED 3.5 x 48</t>
        </is>
      </c>
      <c r="C213" t="inlineStr">
        <is>
          <t>ED</t>
        </is>
      </c>
      <c r="D213" t="inlineStr">
        <is>
          <t>model</t>
        </is>
      </c>
      <c r="G213" s="6" t="n">
        <v>61371</v>
      </c>
      <c r="H213" t="n">
        <v>25</v>
      </c>
      <c r="I213" s="3" t="n">
        <v>76800</v>
      </c>
      <c r="J213">
        <f>IF(I213&gt;0,CEILING(I213*(1-Policy!$B$13/100),IF(I213&lt;10000,50,100)),"")</f>
        <v/>
      </c>
      <c r="K213">
        <f>IF(I213&gt;0,ROUNDUP(I213/Policy!$B$14*(1+Policy!$B$15/100),0),"")</f>
        <v/>
      </c>
      <c r="L213" t="n">
        <v>42</v>
      </c>
      <c r="M213" t="inlineStr">
        <is>
          <t>stroke 1200 mm, Fs 257500 N</t>
        </is>
      </c>
    </row>
    <row r="214">
      <c r="A214" t="inlineStr">
        <is>
          <t>ED4.0X36</t>
        </is>
      </c>
      <c r="B214" t="inlineStr">
        <is>
          <t>ED 4.0 x 36</t>
        </is>
      </c>
      <c r="C214" t="inlineStr">
        <is>
          <t>ED</t>
        </is>
      </c>
      <c r="D214" t="inlineStr">
        <is>
          <t>model</t>
        </is>
      </c>
      <c r="G214" s="6" t="n">
        <v>69157</v>
      </c>
      <c r="H214" t="n">
        <v>25</v>
      </c>
      <c r="I214" s="3" t="n">
        <v>86500</v>
      </c>
      <c r="J214">
        <f>IF(I214&gt;0,CEILING(I214*(1-Policy!$B$13/100),IF(I214&lt;10000,50,100)),"")</f>
        <v/>
      </c>
      <c r="K214">
        <f>IF(I214&gt;0,ROUNDUP(I214/Policy!$B$14*(1+Policy!$B$15/100),0),"")</f>
        <v/>
      </c>
      <c r="L214" t="n">
        <v>42</v>
      </c>
      <c r="M214" t="inlineStr">
        <is>
          <t>stroke 900 mm, Fs 369306 N</t>
        </is>
      </c>
    </row>
    <row r="215">
      <c r="A215" t="inlineStr">
        <is>
          <t>ED3.5X56</t>
        </is>
      </c>
      <c r="B215" t="inlineStr">
        <is>
          <t>ED 3.5 x 56</t>
        </is>
      </c>
      <c r="C215" t="inlineStr">
        <is>
          <t>ED</t>
        </is>
      </c>
      <c r="D215" t="inlineStr">
        <is>
          <t>model</t>
        </is>
      </c>
      <c r="G215" s="6" t="n">
        <v>61909</v>
      </c>
      <c r="H215" t="n">
        <v>25</v>
      </c>
      <c r="I215" s="3" t="n">
        <v>77400</v>
      </c>
      <c r="J215">
        <f>IF(I215&gt;0,CEILING(I215*(1-Policy!$B$13/100),IF(I215&lt;10000,50,100)),"")</f>
        <v/>
      </c>
      <c r="K215">
        <f>IF(I215&gt;0,ROUNDUP(I215/Policy!$B$14*(1+Policy!$B$15/100),0),"")</f>
        <v/>
      </c>
      <c r="L215" t="n">
        <v>42</v>
      </c>
      <c r="M215" t="inlineStr">
        <is>
          <t>stroke 1400 mm, Fs 244018 N</t>
        </is>
      </c>
    </row>
    <row r="216">
      <c r="A216" t="inlineStr">
        <is>
          <t>ED4.0X40</t>
        </is>
      </c>
      <c r="B216" t="inlineStr">
        <is>
          <t>ED 4.0 x 40</t>
        </is>
      </c>
      <c r="C216" t="inlineStr">
        <is>
          <t>ED</t>
        </is>
      </c>
      <c r="D216" t="inlineStr">
        <is>
          <t>model</t>
        </is>
      </c>
      <c r="G216" s="6" t="n">
        <v>70220</v>
      </c>
      <c r="H216" t="n">
        <v>25</v>
      </c>
      <c r="I216" s="3" t="n">
        <v>87800</v>
      </c>
      <c r="J216">
        <f>IF(I216&gt;0,CEILING(I216*(1-Policy!$B$13/100),IF(I216&lt;10000,50,100)),"")</f>
        <v/>
      </c>
      <c r="K216">
        <f>IF(I216&gt;0,ROUNDUP(I216/Policy!$B$14*(1+Policy!$B$15/100),0),"")</f>
        <v/>
      </c>
      <c r="L216" t="n">
        <v>42</v>
      </c>
      <c r="M216" t="inlineStr">
        <is>
          <t>stroke 1000 mm, Fs 362375 N</t>
        </is>
      </c>
    </row>
    <row r="217">
      <c r="A217" t="inlineStr">
        <is>
          <t>ED4.0X48</t>
        </is>
      </c>
      <c r="B217" t="inlineStr">
        <is>
          <t>ED 4.0 x 48</t>
        </is>
      </c>
      <c r="C217" t="inlineStr">
        <is>
          <t>ED</t>
        </is>
      </c>
      <c r="D217" t="inlineStr">
        <is>
          <t>model</t>
        </is>
      </c>
      <c r="G217" s="6" t="n">
        <v>71273</v>
      </c>
      <c r="H217" t="n">
        <v>25</v>
      </c>
      <c r="I217" s="3" t="n">
        <v>89100</v>
      </c>
      <c r="J217">
        <f>IF(I217&gt;0,CEILING(I217*(1-Policy!$B$13/100),IF(I217&lt;10000,50,100)),"")</f>
        <v/>
      </c>
      <c r="K217">
        <f>IF(I217&gt;0,ROUNDUP(I217/Policy!$B$14*(1+Policy!$B$15/100),0),"")</f>
        <v/>
      </c>
      <c r="L217" t="n">
        <v>42</v>
      </c>
      <c r="M217" t="inlineStr">
        <is>
          <t>stroke 1200 mm, Fs 343021 N</t>
        </is>
      </c>
    </row>
    <row r="218">
      <c r="A218" t="inlineStr">
        <is>
          <t>EI50X50</t>
        </is>
      </c>
      <c r="B218" t="inlineStr">
        <is>
          <t>EI 50 x 50</t>
        </is>
      </c>
      <c r="C218" t="inlineStr">
        <is>
          <t>EI</t>
        </is>
      </c>
      <c r="D218" t="inlineStr">
        <is>
          <t>model</t>
        </is>
      </c>
      <c r="G218" s="6" t="n">
        <v>16373</v>
      </c>
      <c r="H218" t="n">
        <v>25</v>
      </c>
      <c r="I218" s="3" t="n">
        <v>20500</v>
      </c>
      <c r="J218">
        <f>IF(I218&gt;0,CEILING(I218*(1-Policy!$B$13/100),IF(I218&lt;10000,50,100)),"")</f>
        <v/>
      </c>
      <c r="K218">
        <f>IF(I218&gt;0,ROUNDUP(I218/Policy!$B$14*(1+Policy!$B$15/100),0),"")</f>
        <v/>
      </c>
      <c r="L218" t="n">
        <v>42</v>
      </c>
      <c r="M218" t="inlineStr">
        <is>
          <t>stroke 50 mm, Fs 87500 N</t>
        </is>
      </c>
    </row>
    <row r="219">
      <c r="A219" t="inlineStr">
        <is>
          <t>EI50X100</t>
        </is>
      </c>
      <c r="B219" t="inlineStr">
        <is>
          <t>EI 50 x 100</t>
        </is>
      </c>
      <c r="C219" t="inlineStr">
        <is>
          <t>EI</t>
        </is>
      </c>
      <c r="D219" t="inlineStr">
        <is>
          <t>model</t>
        </is>
      </c>
      <c r="G219" s="6" t="n">
        <v>19173</v>
      </c>
      <c r="H219" t="n">
        <v>25</v>
      </c>
      <c r="I219" s="3" t="n">
        <v>24000</v>
      </c>
      <c r="J219">
        <f>IF(I219&gt;0,CEILING(I219*(1-Policy!$B$13/100),IF(I219&lt;10000,50,100)),"")</f>
        <v/>
      </c>
      <c r="K219">
        <f>IF(I219&gt;0,ROUNDUP(I219/Policy!$B$14*(1+Policy!$B$15/100),0),"")</f>
        <v/>
      </c>
      <c r="L219" t="n">
        <v>42</v>
      </c>
      <c r="M219" t="inlineStr">
        <is>
          <t>stroke 100 mm, Fs 86250 N</t>
        </is>
      </c>
    </row>
    <row r="220">
      <c r="A220" t="inlineStr">
        <is>
          <t>EI80X50</t>
        </is>
      </c>
      <c r="B220" t="inlineStr">
        <is>
          <t>EI 80 x 50</t>
        </is>
      </c>
      <c r="C220" t="inlineStr">
        <is>
          <t>EI</t>
        </is>
      </c>
      <c r="D220" t="inlineStr">
        <is>
          <t>model</t>
        </is>
      </c>
      <c r="G220" s="6" t="n">
        <v>24869</v>
      </c>
      <c r="H220" t="n">
        <v>25</v>
      </c>
      <c r="I220" s="3" t="n">
        <v>31100</v>
      </c>
      <c r="J220">
        <f>IF(I220&gt;0,CEILING(I220*(1-Policy!$B$13/100),IF(I220&lt;10000,50,100)),"")</f>
        <v/>
      </c>
      <c r="K220">
        <f>IF(I220&gt;0,ROUNDUP(I220/Policy!$B$14*(1+Policy!$B$15/100),0),"")</f>
        <v/>
      </c>
      <c r="L220" t="n">
        <v>42</v>
      </c>
      <c r="M220" t="inlineStr">
        <is>
          <t>stroke 50 mm, Fs 195000 N</t>
        </is>
      </c>
    </row>
    <row r="221">
      <c r="A221" t="inlineStr">
        <is>
          <t>EI100X50</t>
        </is>
      </c>
      <c r="B221" t="inlineStr">
        <is>
          <t>EI 100 x 50</t>
        </is>
      </c>
      <c r="C221" t="inlineStr">
        <is>
          <t>EI</t>
        </is>
      </c>
      <c r="D221" t="inlineStr">
        <is>
          <t>model</t>
        </is>
      </c>
      <c r="G221" s="6" t="n">
        <v>30450</v>
      </c>
      <c r="H221" t="n">
        <v>25</v>
      </c>
      <c r="I221" s="3" t="n">
        <v>38100</v>
      </c>
      <c r="J221">
        <f>IF(I221&gt;0,CEILING(I221*(1-Policy!$B$13/100),IF(I221&lt;10000,50,100)),"")</f>
        <v/>
      </c>
      <c r="K221">
        <f>IF(I221&gt;0,ROUNDUP(I221/Policy!$B$14*(1+Policy!$B$15/100),0),"")</f>
        <v/>
      </c>
      <c r="L221" t="n">
        <v>42</v>
      </c>
      <c r="M221" t="inlineStr">
        <is>
          <t>stroke 50 mm, Fs 287500 N</t>
        </is>
      </c>
    </row>
    <row r="222">
      <c r="A222" t="inlineStr">
        <is>
          <t>EI80X100</t>
        </is>
      </c>
      <c r="B222" t="inlineStr">
        <is>
          <t>EI 80 x 100</t>
        </is>
      </c>
      <c r="C222" t="inlineStr">
        <is>
          <t>EI</t>
        </is>
      </c>
      <c r="D222" t="inlineStr">
        <is>
          <t>model</t>
        </is>
      </c>
      <c r="G222" s="6" t="n">
        <v>29342</v>
      </c>
      <c r="H222" t="n">
        <v>25</v>
      </c>
      <c r="I222" s="3" t="n">
        <v>36700</v>
      </c>
      <c r="J222">
        <f>IF(I222&gt;0,CEILING(I222*(1-Policy!$B$13/100),IF(I222&lt;10000,50,100)),"")</f>
        <v/>
      </c>
      <c r="K222">
        <f>IF(I222&gt;0,ROUNDUP(I222/Policy!$B$14*(1+Policy!$B$15/100),0),"")</f>
        <v/>
      </c>
      <c r="L222" t="n">
        <v>42</v>
      </c>
      <c r="M222" t="inlineStr">
        <is>
          <t>stroke 100 mm, Fs 195000 N</t>
        </is>
      </c>
    </row>
    <row r="223">
      <c r="A223" t="inlineStr">
        <is>
          <t>EI100X100</t>
        </is>
      </c>
      <c r="B223" t="inlineStr">
        <is>
          <t>EI 100 x 100</t>
        </is>
      </c>
      <c r="C223" t="inlineStr">
        <is>
          <t>EI</t>
        </is>
      </c>
      <c r="D223" t="inlineStr">
        <is>
          <t>model</t>
        </is>
      </c>
      <c r="G223" s="6" t="n">
        <v>35927</v>
      </c>
      <c r="H223" t="n">
        <v>25</v>
      </c>
      <c r="I223" s="3" t="n">
        <v>45000</v>
      </c>
      <c r="J223">
        <f>IF(I223&gt;0,CEILING(I223*(1-Policy!$B$13/100),IF(I223&lt;10000,50,100)),"")</f>
        <v/>
      </c>
      <c r="K223">
        <f>IF(I223&gt;0,ROUNDUP(I223/Policy!$B$14*(1+Policy!$B$15/100),0),"")</f>
        <v/>
      </c>
      <c r="L223" t="n">
        <v>42</v>
      </c>
      <c r="M223" t="inlineStr">
        <is>
          <t>stroke 100 mm, Fs 287500 N</t>
        </is>
      </c>
    </row>
    <row r="224">
      <c r="A224" t="inlineStr">
        <is>
          <t>EI100X150</t>
        </is>
      </c>
      <c r="B224" t="inlineStr">
        <is>
          <t>EI 100 x 150</t>
        </is>
      </c>
      <c r="C224" t="inlineStr">
        <is>
          <t>EI</t>
        </is>
      </c>
      <c r="D224" t="inlineStr">
        <is>
          <t>model</t>
        </is>
      </c>
      <c r="G224" s="6" t="n">
        <v>39577</v>
      </c>
      <c r="H224" t="n">
        <v>25</v>
      </c>
      <c r="I224" s="3" t="n">
        <v>49500</v>
      </c>
      <c r="J224">
        <f>IF(I224&gt;0,CEILING(I224*(1-Policy!$B$13/100),IF(I224&lt;10000,50,100)),"")</f>
        <v/>
      </c>
      <c r="K224">
        <f>IF(I224&gt;0,ROUNDUP(I224/Policy!$B$14*(1+Policy!$B$15/100),0),"")</f>
        <v/>
      </c>
      <c r="L224" t="n">
        <v>42</v>
      </c>
      <c r="M224" t="inlineStr">
        <is>
          <t>stroke 150 mm, Fs 287500 N</t>
        </is>
      </c>
    </row>
    <row r="225">
      <c r="A225" t="inlineStr">
        <is>
          <t>EI120X100</t>
        </is>
      </c>
      <c r="B225" t="inlineStr">
        <is>
          <t>EI 120 x 100</t>
        </is>
      </c>
      <c r="C225" t="inlineStr">
        <is>
          <t>EI</t>
        </is>
      </c>
      <c r="D225" t="inlineStr">
        <is>
          <t>model</t>
        </is>
      </c>
      <c r="G225" s="6" t="n">
        <v>46038</v>
      </c>
      <c r="H225" t="n">
        <v>25</v>
      </c>
      <c r="I225" s="3" t="n">
        <v>57600</v>
      </c>
      <c r="J225">
        <f>IF(I225&gt;0,CEILING(I225*(1-Policy!$B$13/100),IF(I225&lt;10000,50,100)),"")</f>
        <v/>
      </c>
      <c r="K225">
        <f>IF(I225&gt;0,ROUNDUP(I225/Policy!$B$14*(1+Policy!$B$15/100),0),"")</f>
        <v/>
      </c>
      <c r="L225" t="n">
        <v>42</v>
      </c>
      <c r="M225" t="inlineStr">
        <is>
          <t>stroke 100 mm, Fs 462500 N</t>
        </is>
      </c>
    </row>
    <row r="226">
      <c r="A226" t="inlineStr">
        <is>
          <t>EI100X200</t>
        </is>
      </c>
      <c r="B226" t="inlineStr">
        <is>
          <t>EI 100 x 200</t>
        </is>
      </c>
      <c r="C226" t="inlineStr">
        <is>
          <t>EI</t>
        </is>
      </c>
      <c r="D226" t="inlineStr">
        <is>
          <t>model</t>
        </is>
      </c>
      <c r="G226" s="6" t="n">
        <v>42389</v>
      </c>
      <c r="H226" t="n">
        <v>25</v>
      </c>
      <c r="I226" s="3" t="n">
        <v>53000</v>
      </c>
      <c r="J226">
        <f>IF(I226&gt;0,CEILING(I226*(1-Policy!$B$13/100),IF(I226&lt;10000,50,100)),"")</f>
        <v/>
      </c>
      <c r="K226">
        <f>IF(I226&gt;0,ROUNDUP(I226/Policy!$B$14*(1+Policy!$B$15/100),0),"")</f>
        <v/>
      </c>
      <c r="L226" t="n">
        <v>42</v>
      </c>
      <c r="M226" t="inlineStr">
        <is>
          <t>stroke 200 mm, Fs 287500 N</t>
        </is>
      </c>
    </row>
    <row r="227">
      <c r="A227" t="inlineStr">
        <is>
          <t>EI120X150</t>
        </is>
      </c>
      <c r="B227" t="inlineStr">
        <is>
          <t>EI 120 x 150</t>
        </is>
      </c>
      <c r="C227" t="inlineStr">
        <is>
          <t>EI</t>
        </is>
      </c>
      <c r="D227" t="inlineStr">
        <is>
          <t>model</t>
        </is>
      </c>
      <c r="G227" s="6" t="n">
        <v>50476</v>
      </c>
      <c r="H227" t="n">
        <v>25</v>
      </c>
      <c r="I227" s="3" t="n">
        <v>63100</v>
      </c>
      <c r="J227">
        <f>IF(I227&gt;0,CEILING(I227*(1-Policy!$B$13/100),IF(I227&lt;10000,50,100)),"")</f>
        <v/>
      </c>
      <c r="K227">
        <f>IF(I227&gt;0,ROUNDUP(I227/Policy!$B$14*(1+Policy!$B$15/100),0),"")</f>
        <v/>
      </c>
      <c r="L227" t="n">
        <v>42</v>
      </c>
      <c r="M227" t="inlineStr">
        <is>
          <t>stroke 150 mm, Fs 458333 N</t>
        </is>
      </c>
    </row>
    <row r="228">
      <c r="A228" t="inlineStr">
        <is>
          <t>EI150X115</t>
        </is>
      </c>
      <c r="B228" t="inlineStr">
        <is>
          <t>EI 150 x 115</t>
        </is>
      </c>
      <c r="C228" t="inlineStr">
        <is>
          <t>EI</t>
        </is>
      </c>
      <c r="D228" t="inlineStr">
        <is>
          <t>model</t>
        </is>
      </c>
      <c r="G228" s="6" t="n">
        <v>62169</v>
      </c>
      <c r="H228" t="n">
        <v>25</v>
      </c>
      <c r="I228" s="3" t="n">
        <v>77800</v>
      </c>
      <c r="J228">
        <f>IF(I228&gt;0,CEILING(I228*(1-Policy!$B$13/100),IF(I228&lt;10000,50,100)),"")</f>
        <v/>
      </c>
      <c r="K228">
        <f>IF(I228&gt;0,ROUNDUP(I228/Policy!$B$14*(1+Policy!$B$15/100),0),"")</f>
        <v/>
      </c>
      <c r="L228" t="n">
        <v>42</v>
      </c>
      <c r="M228" t="inlineStr">
        <is>
          <t>stroke 115 mm, Fs 771739 N</t>
        </is>
      </c>
    </row>
    <row r="229">
      <c r="A229" t="inlineStr">
        <is>
          <t>EI120X200</t>
        </is>
      </c>
      <c r="B229" t="inlineStr">
        <is>
          <t>EI 120 x 200</t>
        </is>
      </c>
      <c r="C229" t="inlineStr">
        <is>
          <t>EI</t>
        </is>
      </c>
      <c r="D229" t="inlineStr">
        <is>
          <t>model</t>
        </is>
      </c>
      <c r="G229" s="6" t="n">
        <v>54318</v>
      </c>
      <c r="H229" t="n">
        <v>25</v>
      </c>
      <c r="I229" s="3" t="n">
        <v>67900</v>
      </c>
      <c r="J229">
        <f>IF(I229&gt;0,CEILING(I229*(1-Policy!$B$13/100),IF(I229&lt;10000,50,100)),"")</f>
        <v/>
      </c>
      <c r="K229">
        <f>IF(I229&gt;0,ROUNDUP(I229/Policy!$B$14*(1+Policy!$B$15/100),0),"")</f>
        <v/>
      </c>
      <c r="L229" t="n">
        <v>42</v>
      </c>
      <c r="M229" t="inlineStr">
        <is>
          <t>stroke 200 mm, Fs 462500 N</t>
        </is>
      </c>
    </row>
    <row r="230">
      <c r="A230" t="inlineStr">
        <is>
          <t>EI100X400</t>
        </is>
      </c>
      <c r="B230" t="inlineStr">
        <is>
          <t>EI 100 x 400</t>
        </is>
      </c>
      <c r="C230" t="inlineStr">
        <is>
          <t>EI</t>
        </is>
      </c>
      <c r="D230" t="inlineStr">
        <is>
          <t>model</t>
        </is>
      </c>
      <c r="G230" s="6" t="n">
        <v>50013</v>
      </c>
      <c r="H230" t="n">
        <v>25</v>
      </c>
      <c r="I230" s="3" t="n">
        <v>62600</v>
      </c>
      <c r="J230">
        <f>IF(I230&gt;0,CEILING(I230*(1-Policy!$B$13/100),IF(I230&lt;10000,50,100)),"")</f>
        <v/>
      </c>
      <c r="K230">
        <f>IF(I230&gt;0,ROUNDUP(I230/Policy!$B$14*(1+Policy!$B$15/100),0),"")</f>
        <v/>
      </c>
      <c r="L230" t="n">
        <v>42</v>
      </c>
      <c r="M230" t="inlineStr">
        <is>
          <t>stroke 400 mm, Fs 287500 N</t>
        </is>
      </c>
    </row>
    <row r="231">
      <c r="A231" t="inlineStr">
        <is>
          <t>EI150X150</t>
        </is>
      </c>
      <c r="B231" t="inlineStr">
        <is>
          <t>EI 150 x 150</t>
        </is>
      </c>
      <c r="C231" t="inlineStr">
        <is>
          <t>EI</t>
        </is>
      </c>
      <c r="D231" t="inlineStr">
        <is>
          <t>model</t>
        </is>
      </c>
      <c r="G231" s="6" t="n">
        <v>66756</v>
      </c>
      <c r="H231" t="n">
        <v>25</v>
      </c>
      <c r="I231" s="3" t="n">
        <v>83500</v>
      </c>
      <c r="J231">
        <f>IF(I231&gt;0,CEILING(I231*(1-Policy!$B$13/100),IF(I231&lt;10000,50,100)),"")</f>
        <v/>
      </c>
      <c r="K231">
        <f>IF(I231&gt;0,ROUNDUP(I231/Policy!$B$14*(1+Policy!$B$15/100),0),"")</f>
        <v/>
      </c>
      <c r="L231" t="n">
        <v>42</v>
      </c>
      <c r="M231" t="inlineStr">
        <is>
          <t>stroke 150 mm, Fs 783333 N</t>
        </is>
      </c>
    </row>
    <row r="232">
      <c r="A232" t="inlineStr">
        <is>
          <t>EI130X250</t>
        </is>
      </c>
      <c r="B232" t="inlineStr">
        <is>
          <t>EI 130 x 250</t>
        </is>
      </c>
      <c r="C232" t="inlineStr">
        <is>
          <t>EI</t>
        </is>
      </c>
      <c r="D232" t="inlineStr">
        <is>
          <t>model</t>
        </is>
      </c>
      <c r="G232" s="6" t="n">
        <v>62080</v>
      </c>
      <c r="H232" t="n">
        <v>25</v>
      </c>
      <c r="I232" s="3" t="n">
        <v>77700</v>
      </c>
      <c r="J232">
        <f>IF(I232&gt;0,CEILING(I232*(1-Policy!$B$13/100),IF(I232&lt;10000,50,100)),"")</f>
        <v/>
      </c>
      <c r="K232">
        <f>IF(I232&gt;0,ROUNDUP(I232/Policy!$B$14*(1+Policy!$B$15/100),0),"")</f>
        <v/>
      </c>
      <c r="L232" t="n">
        <v>42</v>
      </c>
      <c r="M232" t="inlineStr">
        <is>
          <t>stroke 250 mm, Fs 539500 N</t>
        </is>
      </c>
    </row>
    <row r="233">
      <c r="A233" t="inlineStr">
        <is>
          <t>EI120X300</t>
        </is>
      </c>
      <c r="B233" t="inlineStr">
        <is>
          <t>EI 120 x 300</t>
        </is>
      </c>
      <c r="C233" t="inlineStr">
        <is>
          <t>EI</t>
        </is>
      </c>
      <c r="D233" t="inlineStr">
        <is>
          <t>model</t>
        </is>
      </c>
      <c r="G233" s="6" t="n">
        <v>58987</v>
      </c>
      <c r="H233" t="n">
        <v>25</v>
      </c>
      <c r="I233" s="3" t="n">
        <v>73800</v>
      </c>
      <c r="J233">
        <f>IF(I233&gt;0,CEILING(I233*(1-Policy!$B$13/100),IF(I233&lt;10000,50,100)),"")</f>
        <v/>
      </c>
      <c r="K233">
        <f>IF(I233&gt;0,ROUNDUP(I233/Policy!$B$14*(1+Policy!$B$15/100),0),"")</f>
        <v/>
      </c>
      <c r="L233" t="n">
        <v>42</v>
      </c>
      <c r="M233" t="inlineStr">
        <is>
          <t>stroke 300 mm, Fs 450000 N</t>
        </is>
      </c>
    </row>
    <row r="234">
      <c r="A234" t="inlineStr">
        <is>
          <t>EI100X500</t>
        </is>
      </c>
      <c r="B234" t="inlineStr">
        <is>
          <t>EI 100 x 500</t>
        </is>
      </c>
      <c r="C234" t="inlineStr">
        <is>
          <t>EI</t>
        </is>
      </c>
      <c r="D234" t="inlineStr">
        <is>
          <t>model</t>
        </is>
      </c>
      <c r="G234" s="6" t="n">
        <v>51073</v>
      </c>
      <c r="H234" t="n">
        <v>25</v>
      </c>
      <c r="I234" s="3" t="n">
        <v>63900</v>
      </c>
      <c r="J234">
        <f>IF(I234&gt;0,CEILING(I234*(1-Policy!$B$13/100),IF(I234&lt;10000,50,100)),"")</f>
        <v/>
      </c>
      <c r="K234">
        <f>IF(I234&gt;0,ROUNDUP(I234/Policy!$B$14*(1+Policy!$B$15/100),0),"")</f>
        <v/>
      </c>
      <c r="L234" t="n">
        <v>42</v>
      </c>
      <c r="M234" t="inlineStr">
        <is>
          <t>stroke 500 mm, Fs 270250 N</t>
        </is>
      </c>
    </row>
    <row r="235">
      <c r="A235" t="inlineStr">
        <is>
          <t>EI100X600</t>
        </is>
      </c>
      <c r="B235" t="inlineStr">
        <is>
          <t>EI 100 x 600</t>
        </is>
      </c>
      <c r="C235" t="inlineStr">
        <is>
          <t>EI</t>
        </is>
      </c>
      <c r="D235" t="inlineStr">
        <is>
          <t>model</t>
        </is>
      </c>
      <c r="G235" s="6" t="n">
        <v>53189</v>
      </c>
      <c r="H235" t="n">
        <v>25</v>
      </c>
      <c r="I235" s="3" t="n">
        <v>66500</v>
      </c>
      <c r="J235">
        <f>IF(I235&gt;0,CEILING(I235*(1-Policy!$B$13/100),IF(I235&lt;10000,50,100)),"")</f>
        <v/>
      </c>
      <c r="K235">
        <f>IF(I235&gt;0,ROUNDUP(I235/Policy!$B$14*(1+Policy!$B$15/100),0),"")</f>
        <v/>
      </c>
      <c r="L235" t="n">
        <v>42</v>
      </c>
      <c r="M235" t="inlineStr">
        <is>
          <t>stroke 600 mm, Fs 268750 N</t>
        </is>
      </c>
    </row>
    <row r="236">
      <c r="A236" t="inlineStr">
        <is>
          <t>EI130X300</t>
        </is>
      </c>
      <c r="B236" t="inlineStr">
        <is>
          <t>EI 130 x 300</t>
        </is>
      </c>
      <c r="C236" t="inlineStr">
        <is>
          <t>EI</t>
        </is>
      </c>
      <c r="D236" t="inlineStr">
        <is>
          <t>model</t>
        </is>
      </c>
      <c r="G236" s="6" t="n">
        <v>67032</v>
      </c>
      <c r="H236" t="n">
        <v>25</v>
      </c>
      <c r="I236" s="3" t="n">
        <v>83800</v>
      </c>
      <c r="J236">
        <f>IF(I236&gt;0,CEILING(I236*(1-Policy!$B$13/100),IF(I236&lt;10000,50,100)),"")</f>
        <v/>
      </c>
      <c r="K236">
        <f>IF(I236&gt;0,ROUNDUP(I236/Policy!$B$14*(1+Policy!$B$15/100),0),"")</f>
        <v/>
      </c>
      <c r="L236" t="n">
        <v>42</v>
      </c>
      <c r="M236" t="inlineStr">
        <is>
          <t>stroke 300 mm, Fs 575000 N</t>
        </is>
      </c>
    </row>
    <row r="237">
      <c r="A237" t="inlineStr">
        <is>
          <t>EI120X400</t>
        </is>
      </c>
      <c r="B237" t="inlineStr">
        <is>
          <t>EI 120 x 400</t>
        </is>
      </c>
      <c r="C237" t="inlineStr">
        <is>
          <t>EI</t>
        </is>
      </c>
      <c r="D237" t="inlineStr">
        <is>
          <t>model</t>
        </is>
      </c>
      <c r="G237" s="6" t="n">
        <v>63178</v>
      </c>
      <c r="H237" t="n">
        <v>25</v>
      </c>
      <c r="I237" s="3" t="n">
        <v>79000</v>
      </c>
      <c r="J237">
        <f>IF(I237&gt;0,CEILING(I237*(1-Policy!$B$13/100),IF(I237&lt;10000,50,100)),"")</f>
        <v/>
      </c>
      <c r="K237">
        <f>IF(I237&gt;0,ROUNDUP(I237/Policy!$B$14*(1+Policy!$B$15/100),0),"")</f>
        <v/>
      </c>
      <c r="L237" t="n">
        <v>42</v>
      </c>
      <c r="M237" t="inlineStr">
        <is>
          <t>stroke 400 mm, Fs 450000 N</t>
        </is>
      </c>
    </row>
    <row r="238">
      <c r="A238" t="inlineStr">
        <is>
          <t>EI100X800</t>
        </is>
      </c>
      <c r="B238" t="inlineStr">
        <is>
          <t>EI 100 x 800</t>
        </is>
      </c>
      <c r="C238" t="inlineStr">
        <is>
          <t>EI</t>
        </is>
      </c>
      <c r="D238" t="inlineStr">
        <is>
          <t>model</t>
        </is>
      </c>
      <c r="G238" s="6" t="n">
        <v>54140</v>
      </c>
      <c r="H238" t="n">
        <v>25</v>
      </c>
      <c r="I238" s="3" t="n">
        <v>67700</v>
      </c>
      <c r="J238">
        <f>IF(I238&gt;0,CEILING(I238*(1-Policy!$B$13/100),IF(I238&lt;10000,50,100)),"")</f>
        <v/>
      </c>
      <c r="K238">
        <f>IF(I238&gt;0,ROUNDUP(I238/Policy!$B$14*(1+Policy!$B$15/100),0),"")</f>
        <v/>
      </c>
      <c r="L238" t="n">
        <v>42</v>
      </c>
      <c r="M238" t="inlineStr">
        <is>
          <t>stroke 800 mm, Fs 243750 N</t>
        </is>
      </c>
    </row>
    <row r="239">
      <c r="A239" t="inlineStr">
        <is>
          <t>EI130X400</t>
        </is>
      </c>
      <c r="B239" t="inlineStr">
        <is>
          <t>EI 130 x 400</t>
        </is>
      </c>
      <c r="C239" t="inlineStr">
        <is>
          <t>EI</t>
        </is>
      </c>
      <c r="D239" t="inlineStr">
        <is>
          <t>model</t>
        </is>
      </c>
      <c r="G239" s="6" t="n">
        <v>71795</v>
      </c>
      <c r="H239" t="n">
        <v>25</v>
      </c>
      <c r="I239" s="3" t="n">
        <v>89800</v>
      </c>
      <c r="J239">
        <f>IF(I239&gt;0,CEILING(I239*(1-Policy!$B$13/100),IF(I239&lt;10000,50,100)),"")</f>
        <v/>
      </c>
      <c r="K239">
        <f>IF(I239&gt;0,ROUNDUP(I239/Policy!$B$14*(1+Policy!$B$15/100),0),"")</f>
        <v/>
      </c>
      <c r="L239" t="n">
        <v>42</v>
      </c>
      <c r="M239" t="inlineStr">
        <is>
          <t>stroke 400 mm, Fs 575000 N</t>
        </is>
      </c>
    </row>
    <row r="240">
      <c r="A240" t="inlineStr">
        <is>
          <t>EI120X600</t>
        </is>
      </c>
      <c r="B240" t="inlineStr">
        <is>
          <t>EI 120 x 600</t>
        </is>
      </c>
      <c r="C240" t="inlineStr">
        <is>
          <t>EI</t>
        </is>
      </c>
      <c r="D240" t="inlineStr">
        <is>
          <t>model</t>
        </is>
      </c>
      <c r="G240" s="6" t="n">
        <v>69596</v>
      </c>
      <c r="H240" t="n">
        <v>25</v>
      </c>
      <c r="I240" s="3" t="n">
        <v>87000</v>
      </c>
      <c r="J240">
        <f>IF(I240&gt;0,CEILING(I240*(1-Policy!$B$13/100),IF(I240&lt;10000,50,100)),"")</f>
        <v/>
      </c>
      <c r="K240">
        <f>IF(I240&gt;0,ROUNDUP(I240/Policy!$B$14*(1+Policy!$B$15/100),0),"")</f>
        <v/>
      </c>
      <c r="L240" t="n">
        <v>42</v>
      </c>
      <c r="M240" t="inlineStr">
        <is>
          <t>stroke 600 mm, Fs 450000 N</t>
        </is>
      </c>
    </row>
    <row r="241">
      <c r="A241" t="inlineStr">
        <is>
          <t>EI130X600</t>
        </is>
      </c>
      <c r="B241" t="inlineStr">
        <is>
          <t>EI 130 x 600</t>
        </is>
      </c>
      <c r="C241" t="inlineStr">
        <is>
          <t>EI</t>
        </is>
      </c>
      <c r="D241" t="inlineStr">
        <is>
          <t>model</t>
        </is>
      </c>
      <c r="G241" s="6" t="n">
        <v>73847</v>
      </c>
      <c r="H241" t="n">
        <v>25</v>
      </c>
      <c r="I241" s="3" t="n">
        <v>92400</v>
      </c>
      <c r="J241">
        <f>IF(I241&gt;0,CEILING(I241*(1-Policy!$B$13/100),IF(I241&lt;10000,50,100)),"")</f>
        <v/>
      </c>
      <c r="K241">
        <f>IF(I241&gt;0,ROUNDUP(I241/Policy!$B$14*(1+Policy!$B$15/100),0),"")</f>
        <v/>
      </c>
      <c r="L241" t="n">
        <v>42</v>
      </c>
      <c r="M241" t="inlineStr">
        <is>
          <t>stroke 600 mm, Fs 504167 N</t>
        </is>
      </c>
    </row>
    <row r="242">
      <c r="A242" t="inlineStr">
        <is>
          <t>EI150X400</t>
        </is>
      </c>
      <c r="B242" t="inlineStr">
        <is>
          <t>EI 150 x 400</t>
        </is>
      </c>
      <c r="C242" t="inlineStr">
        <is>
          <t>EI</t>
        </is>
      </c>
      <c r="D242" t="inlineStr">
        <is>
          <t>model</t>
        </is>
      </c>
      <c r="G242" s="6" t="n">
        <v>84767</v>
      </c>
      <c r="H242" t="n">
        <v>25</v>
      </c>
      <c r="I242" s="3" t="n">
        <v>106000</v>
      </c>
      <c r="J242">
        <f>IF(I242&gt;0,CEILING(I242*(1-Policy!$B$13/100),IF(I242&lt;10000,50,100)),"")</f>
        <v/>
      </c>
      <c r="K242">
        <f>IF(I242&gt;0,ROUNDUP(I242/Policy!$B$14*(1+Policy!$B$15/100),0),"")</f>
        <v/>
      </c>
      <c r="L242" t="n">
        <v>42</v>
      </c>
      <c r="M242" t="inlineStr">
        <is>
          <t>stroke 400 mm, Fs 790625 N</t>
        </is>
      </c>
    </row>
    <row r="243">
      <c r="A243" t="inlineStr">
        <is>
          <t>EI120X800</t>
        </is>
      </c>
      <c r="B243" t="inlineStr">
        <is>
          <t>EI 120 x 800</t>
        </is>
      </c>
      <c r="C243" t="inlineStr">
        <is>
          <t>EI</t>
        </is>
      </c>
      <c r="D243" t="inlineStr">
        <is>
          <t>model</t>
        </is>
      </c>
      <c r="G243" s="6" t="n">
        <v>70527</v>
      </c>
      <c r="H243" t="n">
        <v>25</v>
      </c>
      <c r="I243" s="3" t="n">
        <v>88200</v>
      </c>
      <c r="J243">
        <f>IF(I243&gt;0,CEILING(I243*(1-Policy!$B$13/100),IF(I243&lt;10000,50,100)),"")</f>
        <v/>
      </c>
      <c r="K243">
        <f>IF(I243&gt;0,ROUNDUP(I243/Policy!$B$14*(1+Policy!$B$15/100),0),"")</f>
        <v/>
      </c>
      <c r="L243" t="n">
        <v>42</v>
      </c>
      <c r="M243" t="inlineStr">
        <is>
          <t>stroke 800 mm, Fs 404688 N</t>
        </is>
      </c>
    </row>
    <row r="244">
      <c r="A244" t="inlineStr">
        <is>
          <t>EI120X1000</t>
        </is>
      </c>
      <c r="B244" t="inlineStr">
        <is>
          <t>EI 120 x 1000</t>
        </is>
      </c>
      <c r="C244" t="inlineStr">
        <is>
          <t>EI</t>
        </is>
      </c>
      <c r="D244" t="inlineStr">
        <is>
          <t>model</t>
        </is>
      </c>
      <c r="G244" s="6" t="n">
        <v>71362</v>
      </c>
      <c r="H244" t="n">
        <v>25</v>
      </c>
      <c r="I244" s="3" t="n">
        <v>89300</v>
      </c>
      <c r="J244">
        <f>IF(I244&gt;0,CEILING(I244*(1-Policy!$B$13/100),IF(I244&lt;10000,50,100)),"")</f>
        <v/>
      </c>
      <c r="K244">
        <f>IF(I244&gt;0,ROUNDUP(I244/Policy!$B$14*(1+Policy!$B$15/100),0),"")</f>
        <v/>
      </c>
      <c r="L244" t="n">
        <v>42</v>
      </c>
      <c r="M244" t="inlineStr">
        <is>
          <t>stroke 1000 mm, Fs 373750 N</t>
        </is>
      </c>
    </row>
    <row r="245">
      <c r="A245" t="inlineStr">
        <is>
          <t>EI130X800</t>
        </is>
      </c>
      <c r="B245" t="inlineStr">
        <is>
          <t>EI 130 x 800</t>
        </is>
      </c>
      <c r="C245" t="inlineStr">
        <is>
          <t>EI</t>
        </is>
      </c>
      <c r="D245" t="inlineStr">
        <is>
          <t>model</t>
        </is>
      </c>
      <c r="G245" s="6" t="n">
        <v>77589</v>
      </c>
      <c r="H245" t="n">
        <v>25</v>
      </c>
      <c r="I245" s="3" t="n">
        <v>97000</v>
      </c>
      <c r="J245">
        <f>IF(I245&gt;0,CEILING(I245*(1-Policy!$B$13/100),IF(I245&lt;10000,50,100)),"")</f>
        <v/>
      </c>
      <c r="K245">
        <f>IF(I245&gt;0,ROUNDUP(I245/Policy!$B$14*(1+Policy!$B$15/100),0),"")</f>
        <v/>
      </c>
      <c r="L245" t="n">
        <v>42</v>
      </c>
      <c r="M245" t="inlineStr">
        <is>
          <t>stroke 800 mm, Fs 485938 N</t>
        </is>
      </c>
    </row>
    <row r="246">
      <c r="A246" t="inlineStr">
        <is>
          <t>EI150X500</t>
        </is>
      </c>
      <c r="B246" t="inlineStr">
        <is>
          <t>EI 150 x 500</t>
        </is>
      </c>
      <c r="C246" t="inlineStr">
        <is>
          <t>EI</t>
        </is>
      </c>
      <c r="D246" t="inlineStr">
        <is>
          <t>model</t>
        </is>
      </c>
      <c r="G246" s="6" t="n">
        <v>89366</v>
      </c>
      <c r="H246" t="n">
        <v>25</v>
      </c>
      <c r="I246" s="3" t="n">
        <v>111800</v>
      </c>
      <c r="J246">
        <f>IF(I246&gt;0,CEILING(I246*(1-Policy!$B$13/100),IF(I246&lt;10000,50,100)),"")</f>
        <v/>
      </c>
      <c r="K246">
        <f>IF(I246&gt;0,ROUNDUP(I246/Policy!$B$14*(1+Policy!$B$15/100),0),"")</f>
        <v/>
      </c>
      <c r="L246" t="n">
        <v>42</v>
      </c>
      <c r="M246" t="inlineStr">
        <is>
          <t>stroke 500 mm, Fs 790000 N</t>
        </is>
      </c>
    </row>
    <row r="247">
      <c r="A247" t="inlineStr">
        <is>
          <t>EI150X600</t>
        </is>
      </c>
      <c r="B247" t="inlineStr">
        <is>
          <t>EI 150 x 600</t>
        </is>
      </c>
      <c r="C247" t="inlineStr">
        <is>
          <t>EI</t>
        </is>
      </c>
      <c r="D247" t="inlineStr">
        <is>
          <t>model</t>
        </is>
      </c>
      <c r="G247" s="6" t="n">
        <v>93443</v>
      </c>
      <c r="H247" t="n">
        <v>25</v>
      </c>
      <c r="I247" s="3" t="n">
        <v>116900</v>
      </c>
      <c r="J247">
        <f>IF(I247&gt;0,CEILING(I247*(1-Policy!$B$13/100),IF(I247&lt;10000,50,100)),"")</f>
        <v/>
      </c>
      <c r="K247">
        <f>IF(I247&gt;0,ROUNDUP(I247/Policy!$B$14*(1+Policy!$B$15/100),0),"")</f>
        <v/>
      </c>
      <c r="L247" t="n">
        <v>42</v>
      </c>
      <c r="M247" t="inlineStr">
        <is>
          <t>stroke 600 mm, Fs 791667 N</t>
        </is>
      </c>
    </row>
    <row r="248">
      <c r="A248" t="inlineStr">
        <is>
          <t>EI150X800</t>
        </is>
      </c>
      <c r="B248" t="inlineStr">
        <is>
          <t>EI 150 x 800</t>
        </is>
      </c>
      <c r="C248" t="inlineStr">
        <is>
          <t>EI</t>
        </is>
      </c>
      <c r="D248" t="inlineStr">
        <is>
          <t>model</t>
        </is>
      </c>
      <c r="G248" s="6" t="n">
        <v>100937</v>
      </c>
      <c r="H248" t="n">
        <v>25</v>
      </c>
      <c r="I248" s="3" t="n">
        <v>126200</v>
      </c>
      <c r="J248">
        <f>IF(I248&gt;0,CEILING(I248*(1-Policy!$B$13/100),IF(I248&lt;10000,50,100)),"")</f>
        <v/>
      </c>
      <c r="K248">
        <f>IF(I248&gt;0,ROUNDUP(I248/Policy!$B$14*(1+Policy!$B$15/100),0),"")</f>
        <v/>
      </c>
      <c r="L248" t="n">
        <v>42</v>
      </c>
      <c r="M248" t="inlineStr">
        <is>
          <t>stroke 800 mm, Fs 804688 N</t>
        </is>
      </c>
    </row>
    <row r="249">
      <c r="A249" t="inlineStr">
        <is>
          <t>EI150X1000</t>
        </is>
      </c>
      <c r="B249" t="inlineStr">
        <is>
          <t>EI 150 x 1000</t>
        </is>
      </c>
      <c r="C249" t="inlineStr">
        <is>
          <t>EI</t>
        </is>
      </c>
      <c r="D249" t="inlineStr">
        <is>
          <t>model</t>
        </is>
      </c>
      <c r="G249" s="6" t="n">
        <v>101454</v>
      </c>
      <c r="H249" t="n">
        <v>25</v>
      </c>
      <c r="I249" s="3" t="n">
        <v>126900</v>
      </c>
      <c r="J249">
        <f>IF(I249&gt;0,CEILING(I249*(1-Policy!$B$13/100),IF(I249&lt;10000,50,100)),"")</f>
        <v/>
      </c>
      <c r="K249">
        <f>IF(I249&gt;0,ROUNDUP(I249/Policy!$B$14*(1+Policy!$B$15/100),0),"")</f>
        <v/>
      </c>
      <c r="L249" t="n">
        <v>42</v>
      </c>
      <c r="M249" t="inlineStr">
        <is>
          <t>stroke 1000 mm, Fs 733750 N</t>
        </is>
      </c>
    </row>
    <row r="250">
      <c r="A250" t="inlineStr">
        <is>
          <t>JHQC1</t>
        </is>
      </c>
      <c r="B250" t="inlineStr">
        <is>
          <t>JHQ-C-1</t>
        </is>
      </c>
      <c r="C250" t="inlineStr">
        <is>
          <t>JHQC</t>
        </is>
      </c>
      <c r="D250" t="inlineStr">
        <is>
          <t>file</t>
        </is>
      </c>
      <c r="E250" t="n">
        <v>739.2</v>
      </c>
      <c r="F250" t="inlineStr">
        <is>
          <t>pu_pricelist:inr</t>
        </is>
      </c>
      <c r="G250" t="n">
        <v>822</v>
      </c>
      <c r="H250" t="n">
        <v>0</v>
      </c>
      <c r="I250" s="3" t="n">
        <v>750</v>
      </c>
      <c r="J250">
        <f>IF(I250&gt;0,CEILING(I250*(1-Policy!$B$13/100),IF(I250&lt;10000,50,100)),"")</f>
        <v/>
      </c>
      <c r="K250">
        <f>IF(I250&gt;0,ROUNDUP(I250/Policy!$B$14*(1+Policy!$B$15/100),0),"")</f>
        <v/>
      </c>
      <c r="L250" t="n">
        <v>21</v>
      </c>
      <c r="M250" t="inlineStr">
        <is>
          <t>stroke 60 mm, Fs 27954 N</t>
        </is>
      </c>
    </row>
    <row r="251">
      <c r="A251" t="inlineStr">
        <is>
          <t>JHQC2</t>
        </is>
      </c>
      <c r="B251" t="inlineStr">
        <is>
          <t>JHQ-C-2</t>
        </is>
      </c>
      <c r="C251" t="inlineStr">
        <is>
          <t>JHQC</t>
        </is>
      </c>
      <c r="D251" t="inlineStr">
        <is>
          <t>file</t>
        </is>
      </c>
      <c r="E251" t="n">
        <v>802.5599999999999</v>
      </c>
      <c r="F251" t="inlineStr">
        <is>
          <t>pu_pricelist:inr</t>
        </is>
      </c>
      <c r="G251" t="n">
        <v>1000</v>
      </c>
      <c r="H251" t="n">
        <v>0</v>
      </c>
      <c r="I251" s="3" t="n">
        <v>850</v>
      </c>
      <c r="J251">
        <f>IF(I251&gt;0,CEILING(I251*(1-Policy!$B$13/100),IF(I251&lt;10000,50,100)),"")</f>
        <v/>
      </c>
      <c r="K251">
        <f>IF(I251&gt;0,ROUNDUP(I251/Policy!$B$14*(1+Policy!$B$15/100),0),"")</f>
        <v/>
      </c>
      <c r="L251" t="n">
        <v>21</v>
      </c>
      <c r="M251" t="inlineStr">
        <is>
          <t>stroke 60 mm, Fs 41929 N</t>
        </is>
      </c>
    </row>
    <row r="252">
      <c r="A252" t="inlineStr">
        <is>
          <t>JHQC3</t>
        </is>
      </c>
      <c r="B252" t="inlineStr">
        <is>
          <t>JHQ-C-3</t>
        </is>
      </c>
      <c r="C252" t="inlineStr">
        <is>
          <t>JHQC</t>
        </is>
      </c>
      <c r="D252" t="inlineStr">
        <is>
          <t>file</t>
        </is>
      </c>
      <c r="E252" t="n">
        <v>887.0400000000002</v>
      </c>
      <c r="F252" t="inlineStr">
        <is>
          <t>pu_pricelist:inr</t>
        </is>
      </c>
      <c r="G252" t="n">
        <v>1065</v>
      </c>
      <c r="H252" t="n">
        <v>0</v>
      </c>
      <c r="I252" s="3" t="n">
        <v>900</v>
      </c>
      <c r="J252">
        <f>IF(I252&gt;0,CEILING(I252*(1-Policy!$B$13/100),IF(I252&lt;10000,50,100)),"")</f>
        <v/>
      </c>
      <c r="K252">
        <f>IF(I252&gt;0,ROUNDUP(I252/Policy!$B$14*(1+Policy!$B$15/100),0),"")</f>
        <v/>
      </c>
      <c r="L252" t="n">
        <v>21</v>
      </c>
      <c r="M252" t="inlineStr">
        <is>
          <t>stroke 75 mm, Fs 42096 N</t>
        </is>
      </c>
    </row>
    <row r="253">
      <c r="A253" t="inlineStr">
        <is>
          <t>JHQC4</t>
        </is>
      </c>
      <c r="B253" t="inlineStr">
        <is>
          <t>JHQ-C-4</t>
        </is>
      </c>
      <c r="C253" t="inlineStr">
        <is>
          <t>JHQC</t>
        </is>
      </c>
      <c r="D253" t="inlineStr">
        <is>
          <t>file</t>
        </is>
      </c>
      <c r="E253" t="n">
        <v>950.4</v>
      </c>
      <c r="F253" t="inlineStr">
        <is>
          <t>pu_pricelist:inr</t>
        </is>
      </c>
      <c r="G253" t="n">
        <v>1245</v>
      </c>
      <c r="H253" t="n">
        <v>0</v>
      </c>
      <c r="I253" s="3" t="n">
        <v>1000</v>
      </c>
      <c r="J253">
        <f>IF(I253&gt;0,CEILING(I253*(1-Policy!$B$13/100),IF(I253&lt;10000,50,100)),"")</f>
        <v/>
      </c>
      <c r="K253">
        <f>IF(I253&gt;0,ROUNDUP(I253/Policy!$B$14*(1+Policy!$B$15/100),0),"")</f>
        <v/>
      </c>
      <c r="L253" t="n">
        <v>21</v>
      </c>
      <c r="M253" t="inlineStr">
        <is>
          <t>stroke 60 mm, Fs 65828 N</t>
        </is>
      </c>
    </row>
    <row r="254">
      <c r="A254" t="inlineStr">
        <is>
          <t>JHQC5</t>
        </is>
      </c>
      <c r="B254" t="inlineStr">
        <is>
          <t>JHQ-C-5</t>
        </is>
      </c>
      <c r="C254" t="inlineStr">
        <is>
          <t>JHQC</t>
        </is>
      </c>
      <c r="D254" t="inlineStr">
        <is>
          <t>file</t>
        </is>
      </c>
      <c r="E254" t="n">
        <v>992.6400000000002</v>
      </c>
      <c r="F254" t="inlineStr">
        <is>
          <t>pu_pricelist:inr</t>
        </is>
      </c>
      <c r="G254" t="n">
        <v>1323</v>
      </c>
      <c r="H254" t="n">
        <v>0</v>
      </c>
      <c r="I254" s="3" t="n">
        <v>1000</v>
      </c>
      <c r="J254">
        <f>IF(I254&gt;0,CEILING(I254*(1-Policy!$B$13/100),IF(I254&lt;10000,50,100)),"")</f>
        <v/>
      </c>
      <c r="K254">
        <f>IF(I254&gt;0,ROUNDUP(I254/Policy!$B$14*(1+Policy!$B$15/100),0),"")</f>
        <v/>
      </c>
      <c r="L254" t="n">
        <v>21</v>
      </c>
      <c r="M254" t="inlineStr">
        <is>
          <t>stroke 75 mm, Fs 65828 N</t>
        </is>
      </c>
    </row>
    <row r="255">
      <c r="A255" t="inlineStr">
        <is>
          <t>JHQC6</t>
        </is>
      </c>
      <c r="B255" t="inlineStr">
        <is>
          <t>JHQ-C-6</t>
        </is>
      </c>
      <c r="C255" t="inlineStr">
        <is>
          <t>JHQC</t>
        </is>
      </c>
      <c r="D255" t="inlineStr">
        <is>
          <t>file</t>
        </is>
      </c>
      <c r="E255" t="n">
        <v>1056</v>
      </c>
      <c r="F255" t="inlineStr">
        <is>
          <t>pu_pricelist:inr</t>
        </is>
      </c>
      <c r="G255" t="n">
        <v>1408</v>
      </c>
      <c r="H255" t="n">
        <v>0</v>
      </c>
      <c r="I255" s="3" t="n">
        <v>1100</v>
      </c>
      <c r="J255">
        <f>IF(I255&gt;0,CEILING(I255*(1-Policy!$B$13/100),IF(I255&lt;10000,50,100)),"")</f>
        <v/>
      </c>
      <c r="K255">
        <f>IF(I255&gt;0,ROUNDUP(I255/Policy!$B$14*(1+Policy!$B$15/100),0),"")</f>
        <v/>
      </c>
      <c r="L255" t="n">
        <v>21</v>
      </c>
      <c r="M255" t="inlineStr">
        <is>
          <t>stroke 94 mm, Fs 65984 N</t>
        </is>
      </c>
    </row>
    <row r="256">
      <c r="A256" t="inlineStr">
        <is>
          <t>JHQC7</t>
        </is>
      </c>
      <c r="B256" t="inlineStr">
        <is>
          <t>JHQ-C-7</t>
        </is>
      </c>
      <c r="C256" t="inlineStr">
        <is>
          <t>JHQC</t>
        </is>
      </c>
      <c r="D256" t="inlineStr">
        <is>
          <t>file</t>
        </is>
      </c>
      <c r="E256" t="n">
        <v>1161.6</v>
      </c>
      <c r="F256" t="inlineStr">
        <is>
          <t>pu_pricelist:inr</t>
        </is>
      </c>
      <c r="G256" t="n">
        <v>1643</v>
      </c>
      <c r="H256" t="n">
        <v>0</v>
      </c>
      <c r="I256" s="3" t="n">
        <v>1200</v>
      </c>
      <c r="J256">
        <f>IF(I256&gt;0,CEILING(I256*(1-Policy!$B$13/100),IF(I256&lt;10000,50,100)),"")</f>
        <v/>
      </c>
      <c r="K256">
        <f>IF(I256&gt;0,ROUNDUP(I256/Policy!$B$14*(1+Policy!$B$15/100),0),"")</f>
        <v/>
      </c>
      <c r="L256" t="n">
        <v>21</v>
      </c>
      <c r="M256" t="inlineStr">
        <is>
          <t>stroke 75 mm, Fs 102893 N</t>
        </is>
      </c>
    </row>
    <row r="257">
      <c r="A257" t="inlineStr">
        <is>
          <t>JHQC8</t>
        </is>
      </c>
      <c r="B257" t="inlineStr">
        <is>
          <t>JHQ-C-8</t>
        </is>
      </c>
      <c r="C257" t="inlineStr">
        <is>
          <t>JHQC</t>
        </is>
      </c>
      <c r="D257" t="inlineStr">
        <is>
          <t>file</t>
        </is>
      </c>
      <c r="E257" t="n">
        <v>1267.2</v>
      </c>
      <c r="F257" t="inlineStr">
        <is>
          <t>pu_pricelist:inr</t>
        </is>
      </c>
      <c r="G257" t="n">
        <v>1749</v>
      </c>
      <c r="H257" t="n">
        <v>0</v>
      </c>
      <c r="I257" s="3" t="n">
        <v>1300</v>
      </c>
      <c r="J257">
        <f>IF(I257&gt;0,CEILING(I257*(1-Policy!$B$13/100),IF(I257&lt;10000,50,100)),"")</f>
        <v/>
      </c>
      <c r="K257">
        <f>IF(I257&gt;0,ROUNDUP(I257/Policy!$B$14*(1+Policy!$B$15/100),0),"")</f>
        <v/>
      </c>
      <c r="L257" t="n">
        <v>21</v>
      </c>
      <c r="M257" t="inlineStr">
        <is>
          <t>stroke 94 mm, Fs 103218 N</t>
        </is>
      </c>
    </row>
    <row r="258">
      <c r="A258" t="inlineStr">
        <is>
          <t>JHQC9</t>
        </is>
      </c>
      <c r="B258" t="inlineStr">
        <is>
          <t>JHQ-C-9</t>
        </is>
      </c>
      <c r="C258" t="inlineStr">
        <is>
          <t>JHQC</t>
        </is>
      </c>
      <c r="D258" t="inlineStr">
        <is>
          <t>file</t>
        </is>
      </c>
      <c r="E258" t="n">
        <v>1372.8</v>
      </c>
      <c r="F258" t="inlineStr">
        <is>
          <t>pu_pricelist:inr</t>
        </is>
      </c>
      <c r="G258" t="n">
        <v>1865</v>
      </c>
      <c r="H258" t="n">
        <v>0</v>
      </c>
      <c r="I258" s="3" t="n">
        <v>1400</v>
      </c>
      <c r="J258">
        <f>IF(I258&gt;0,CEILING(I258*(1-Policy!$B$13/100),IF(I258&lt;10000,50,100)),"")</f>
        <v/>
      </c>
      <c r="K258">
        <f>IF(I258&gt;0,ROUNDUP(I258/Policy!$B$14*(1+Policy!$B$15/100),0),"")</f>
        <v/>
      </c>
      <c r="L258" t="n">
        <v>21</v>
      </c>
      <c r="M258" t="inlineStr">
        <is>
          <t>stroke 120 mm, Fs 102725 N</t>
        </is>
      </c>
    </row>
    <row r="259">
      <c r="A259" t="inlineStr">
        <is>
          <t>JHQC10</t>
        </is>
      </c>
      <c r="B259" t="inlineStr">
        <is>
          <t>JHQ-C-10</t>
        </is>
      </c>
      <c r="C259" t="inlineStr">
        <is>
          <t>JHQC</t>
        </is>
      </c>
      <c r="D259" t="inlineStr">
        <is>
          <t>file</t>
        </is>
      </c>
      <c r="E259" t="n">
        <v>3500</v>
      </c>
      <c r="F259" t="inlineStr">
        <is>
          <t>product_list:b2b</t>
        </is>
      </c>
      <c r="G259" t="n">
        <v>2223</v>
      </c>
      <c r="H259" t="n">
        <v>0</v>
      </c>
      <c r="I259" s="3" t="n">
        <v>3500</v>
      </c>
      <c r="J259">
        <f>IF(I259&gt;0,CEILING(I259*(1-Policy!$B$13/100),IF(I259&lt;10000,50,100)),"")</f>
        <v/>
      </c>
      <c r="K259">
        <f>IF(I259&gt;0,ROUNDUP(I259/Policy!$B$14*(1+Policy!$B$15/100),0),"")</f>
        <v/>
      </c>
      <c r="L259" t="n">
        <v>21</v>
      </c>
      <c r="M259" t="inlineStr">
        <is>
          <t>stroke 94 mm, Fs 169135 N</t>
        </is>
      </c>
    </row>
    <row r="260">
      <c r="A260" t="inlineStr">
        <is>
          <t>JHQC11</t>
        </is>
      </c>
      <c r="B260" t="inlineStr">
        <is>
          <t>JHQ-C-11</t>
        </is>
      </c>
      <c r="C260" t="inlineStr">
        <is>
          <t>JHQC</t>
        </is>
      </c>
      <c r="D260" t="inlineStr">
        <is>
          <t>file</t>
        </is>
      </c>
      <c r="E260" t="n">
        <v>2027.52</v>
      </c>
      <c r="F260" t="inlineStr">
        <is>
          <t>pu_pricelist:inr</t>
        </is>
      </c>
      <c r="G260" t="n">
        <v>2375</v>
      </c>
      <c r="H260" t="n">
        <v>0</v>
      </c>
      <c r="I260" s="3" t="n">
        <v>2050</v>
      </c>
      <c r="J260">
        <f>IF(I260&gt;0,CEILING(I260*(1-Policy!$B$13/100),IF(I260&lt;10000,50,100)),"")</f>
        <v/>
      </c>
      <c r="K260">
        <f>IF(I260&gt;0,ROUNDUP(I260/Policy!$B$14*(1+Policy!$B$15/100),0),"")</f>
        <v/>
      </c>
      <c r="L260" t="n">
        <v>21</v>
      </c>
      <c r="M260" t="inlineStr">
        <is>
          <t>stroke 120 mm, Fs 169102 N</t>
        </is>
      </c>
    </row>
    <row r="261">
      <c r="A261" t="inlineStr">
        <is>
          <t>JHQC12</t>
        </is>
      </c>
      <c r="B261" t="inlineStr">
        <is>
          <t>JHQ-C-12</t>
        </is>
      </c>
      <c r="C261" t="inlineStr">
        <is>
          <t>JHQC</t>
        </is>
      </c>
      <c r="D261" t="inlineStr">
        <is>
          <t>file</t>
        </is>
      </c>
      <c r="E261" t="n">
        <v>2280.96</v>
      </c>
      <c r="F261" t="inlineStr">
        <is>
          <t>pu_pricelist:inr</t>
        </is>
      </c>
      <c r="G261" t="n">
        <v>2519</v>
      </c>
      <c r="H261" t="n">
        <v>0</v>
      </c>
      <c r="I261" s="3" t="n">
        <v>2300</v>
      </c>
      <c r="J261">
        <f>IF(I261&gt;0,CEILING(I261*(1-Policy!$B$13/100),IF(I261&lt;10000,50,100)),"")</f>
        <v/>
      </c>
      <c r="K261">
        <f>IF(I261&gt;0,ROUNDUP(I261/Policy!$B$14*(1+Policy!$B$15/100),0),"")</f>
        <v/>
      </c>
      <c r="L261" t="n">
        <v>21</v>
      </c>
      <c r="M261" t="inlineStr">
        <is>
          <t>stroke 150 mm, Fs 168512 N</t>
        </is>
      </c>
    </row>
    <row r="262">
      <c r="A262" t="inlineStr">
        <is>
          <t>JHQC13</t>
        </is>
      </c>
      <c r="B262" t="inlineStr">
        <is>
          <t>JHQ-C-13</t>
        </is>
      </c>
      <c r="C262" t="inlineStr">
        <is>
          <t>JHQC</t>
        </is>
      </c>
      <c r="D262" t="inlineStr">
        <is>
          <t>file</t>
        </is>
      </c>
      <c r="E262" t="n">
        <v>2724.48</v>
      </c>
      <c r="F262" t="inlineStr">
        <is>
          <t>pu_pricelist:inr</t>
        </is>
      </c>
      <c r="G262" t="n">
        <v>2953</v>
      </c>
      <c r="H262" t="n">
        <v>0</v>
      </c>
      <c r="I262" s="3" t="n">
        <v>2750</v>
      </c>
      <c r="J262">
        <f>IF(I262&gt;0,CEILING(I262*(1-Policy!$B$13/100),IF(I262&lt;10000,50,100)),"")</f>
        <v/>
      </c>
      <c r="K262">
        <f>IF(I262&gt;0,ROUNDUP(I262/Policy!$B$14*(1+Policy!$B$15/100),0),"")</f>
        <v/>
      </c>
      <c r="L262" t="n">
        <v>21</v>
      </c>
      <c r="M262" t="inlineStr">
        <is>
          <t>stroke 120 mm, Fs 264979 N</t>
        </is>
      </c>
    </row>
    <row r="263">
      <c r="A263" t="inlineStr">
        <is>
          <t>JHQC14</t>
        </is>
      </c>
      <c r="B263" t="inlineStr">
        <is>
          <t>JHQ-C-14</t>
        </is>
      </c>
      <c r="C263" t="inlineStr">
        <is>
          <t>JHQC</t>
        </is>
      </c>
      <c r="D263" t="inlineStr">
        <is>
          <t>file</t>
        </is>
      </c>
      <c r="E263" t="n">
        <v>3379.2</v>
      </c>
      <c r="F263" t="inlineStr">
        <is>
          <t>pu_pricelist:inr</t>
        </is>
      </c>
      <c r="G263" t="n">
        <v>3137</v>
      </c>
      <c r="H263" t="n">
        <v>0</v>
      </c>
      <c r="I263" s="3" t="n">
        <v>3400</v>
      </c>
      <c r="J263">
        <f>IF(I263&gt;0,CEILING(I263*(1-Policy!$B$13/100),IF(I263&lt;10000,50,100)),"")</f>
        <v/>
      </c>
      <c r="K263">
        <f>IF(I263&gt;0,ROUNDUP(I263/Policy!$B$14*(1+Policy!$B$15/100),0),"")</f>
        <v/>
      </c>
      <c r="L263" t="n">
        <v>21</v>
      </c>
      <c r="M263" t="inlineStr">
        <is>
          <t>stroke 150 mm, Fs 264979 N</t>
        </is>
      </c>
    </row>
    <row r="264">
      <c r="A264" t="inlineStr">
        <is>
          <t>JHQC15</t>
        </is>
      </c>
      <c r="B264" t="inlineStr">
        <is>
          <t>JHQ-C-15</t>
        </is>
      </c>
      <c r="C264" t="inlineStr">
        <is>
          <t>JHQC</t>
        </is>
      </c>
      <c r="D264" t="inlineStr">
        <is>
          <t>file</t>
        </is>
      </c>
      <c r="E264" t="n">
        <v>3886.08</v>
      </c>
      <c r="F264" t="inlineStr">
        <is>
          <t>pu_pricelist:inr</t>
        </is>
      </c>
      <c r="G264" t="n">
        <v>3331</v>
      </c>
      <c r="H264" t="n">
        <v>0</v>
      </c>
      <c r="I264" s="3" t="n">
        <v>3900</v>
      </c>
      <c r="J264">
        <f>IF(I264&gt;0,CEILING(I264*(1-Policy!$B$13/100),IF(I264&lt;10000,50,100)),"")</f>
        <v/>
      </c>
      <c r="K264">
        <f>IF(I264&gt;0,ROUNDUP(I264/Policy!$B$14*(1+Policy!$B$15/100),0),"")</f>
        <v/>
      </c>
      <c r="L264" t="n">
        <v>21</v>
      </c>
      <c r="M264" t="inlineStr">
        <is>
          <t>stroke 188 mm, Fs 264274 N</t>
        </is>
      </c>
    </row>
    <row r="265">
      <c r="A265" t="inlineStr">
        <is>
          <t>JHQC16</t>
        </is>
      </c>
      <c r="B265" t="inlineStr">
        <is>
          <t>JHQ-C-16</t>
        </is>
      </c>
      <c r="C265" t="inlineStr">
        <is>
          <t>JHQC</t>
        </is>
      </c>
      <c r="D265" t="inlineStr">
        <is>
          <t>file</t>
        </is>
      </c>
      <c r="E265" t="n">
        <v>6547.200000000001</v>
      </c>
      <c r="F265" t="inlineStr">
        <is>
          <t>pu_pricelist:inr</t>
        </is>
      </c>
      <c r="G265" t="n">
        <v>3894</v>
      </c>
      <c r="H265" t="n">
        <v>0</v>
      </c>
      <c r="I265" s="3" t="n">
        <v>6550</v>
      </c>
      <c r="J265">
        <f>IF(I265&gt;0,CEILING(I265*(1-Policy!$B$13/100),IF(I265&lt;10000,50,100)),"")</f>
        <v/>
      </c>
      <c r="K265">
        <f>IF(I265&gt;0,ROUNDUP(I265/Policy!$B$14*(1+Policy!$B$15/100),0),"")</f>
        <v/>
      </c>
      <c r="L265" t="n">
        <v>21</v>
      </c>
      <c r="M265" t="inlineStr">
        <is>
          <t>stroke 150 mm, Fs 413924 N</t>
        </is>
      </c>
    </row>
    <row r="266">
      <c r="A266" t="inlineStr">
        <is>
          <t>JHQC17</t>
        </is>
      </c>
      <c r="B266" t="inlineStr">
        <is>
          <t>JHQ-C-17</t>
        </is>
      </c>
      <c r="C266" t="inlineStr">
        <is>
          <t>JHQC</t>
        </is>
      </c>
      <c r="D266" t="inlineStr">
        <is>
          <t>file</t>
        </is>
      </c>
      <c r="E266" t="n">
        <v>12500</v>
      </c>
      <c r="F266" t="inlineStr">
        <is>
          <t>product_list:b2b</t>
        </is>
      </c>
      <c r="G266" t="n">
        <v>4136</v>
      </c>
      <c r="H266" t="n">
        <v>0</v>
      </c>
      <c r="I266" s="3" t="n">
        <v>12500</v>
      </c>
      <c r="J266">
        <f>IF(I266&gt;0,CEILING(I266*(1-Policy!$B$13/100),IF(I266&lt;10000,50,100)),"")</f>
        <v/>
      </c>
      <c r="K266">
        <f>IF(I266&gt;0,ROUNDUP(I266/Policy!$B$14*(1+Policy!$B$15/100),0),"")</f>
        <v/>
      </c>
      <c r="L266" t="n">
        <v>21</v>
      </c>
      <c r="M266" t="inlineStr">
        <is>
          <t>stroke 188 mm, Fs 412941 N</t>
        </is>
      </c>
    </row>
    <row r="267">
      <c r="A267" t="inlineStr">
        <is>
          <t>JHQC18</t>
        </is>
      </c>
      <c r="B267" t="inlineStr">
        <is>
          <t>JHQ-C-18</t>
        </is>
      </c>
      <c r="C267" t="inlineStr">
        <is>
          <t>JHQC</t>
        </is>
      </c>
      <c r="D267" t="inlineStr">
        <is>
          <t>file</t>
        </is>
      </c>
      <c r="E267" t="n">
        <v>12500</v>
      </c>
      <c r="F267" t="inlineStr">
        <is>
          <t>product_list:market</t>
        </is>
      </c>
      <c r="G267" t="n">
        <v>4425</v>
      </c>
      <c r="H267" t="n">
        <v>0</v>
      </c>
      <c r="I267" s="3" t="n">
        <v>12500</v>
      </c>
      <c r="J267">
        <f>IF(I267&gt;0,CEILING(I267*(1-Policy!$B$13/100),IF(I267&lt;10000,50,100)),"")</f>
        <v/>
      </c>
      <c r="K267">
        <f>IF(I267&gt;0,ROUNDUP(I267/Policy!$B$14*(1+Policy!$B$15/100),0),"")</f>
        <v/>
      </c>
      <c r="L267" t="n">
        <v>21</v>
      </c>
      <c r="M267" t="inlineStr">
        <is>
          <t>stroke 240 mm, Fs 414030 N</t>
        </is>
      </c>
    </row>
    <row r="268">
      <c r="A268" t="inlineStr">
        <is>
          <t>JHQC19</t>
        </is>
      </c>
      <c r="B268" t="inlineStr">
        <is>
          <t>JHQ-C-19</t>
        </is>
      </c>
      <c r="C268" t="inlineStr">
        <is>
          <t>JHQC</t>
        </is>
      </c>
      <c r="D268" t="inlineStr">
        <is>
          <t>file</t>
        </is>
      </c>
      <c r="E268" t="n">
        <v>10876.8</v>
      </c>
      <c r="F268" t="inlineStr">
        <is>
          <t>pu_pricelist:inr</t>
        </is>
      </c>
      <c r="G268" t="n">
        <v>5254</v>
      </c>
      <c r="H268" t="n">
        <v>0</v>
      </c>
      <c r="I268" s="3" t="n">
        <v>10900</v>
      </c>
      <c r="J268">
        <f>IF(I268&gt;0,CEILING(I268*(1-Policy!$B$13/100),IF(I268&lt;10000,50,100)),"")</f>
        <v/>
      </c>
      <c r="K268">
        <f>IF(I268&gt;0,ROUNDUP(I268/Policy!$B$14*(1+Policy!$B$15/100),0),"")</f>
        <v/>
      </c>
      <c r="L268" t="n">
        <v>21</v>
      </c>
      <c r="M268" t="inlineStr">
        <is>
          <t>stroke 188 mm, Fs 676542 N</t>
        </is>
      </c>
    </row>
    <row r="269">
      <c r="A269" t="inlineStr">
        <is>
          <t>JHQC20</t>
        </is>
      </c>
      <c r="B269" t="inlineStr">
        <is>
          <t>JHQ-C-20</t>
        </is>
      </c>
      <c r="C269" t="inlineStr">
        <is>
          <t>JHQC</t>
        </is>
      </c>
      <c r="D269" t="inlineStr">
        <is>
          <t>file</t>
        </is>
      </c>
      <c r="E269" t="n">
        <v>15523.2</v>
      </c>
      <c r="F269" t="inlineStr">
        <is>
          <t>pu_pricelist:inr</t>
        </is>
      </c>
      <c r="G269" t="n">
        <v>5606</v>
      </c>
      <c r="H269" t="n">
        <v>0</v>
      </c>
      <c r="I269" s="3" t="n">
        <v>15600</v>
      </c>
      <c r="J269">
        <f>IF(I269&gt;0,CEILING(I269*(1-Policy!$B$13/100),IF(I269&lt;10000,50,100)),"")</f>
        <v/>
      </c>
      <c r="K269">
        <f>IF(I269&gt;0,ROUNDUP(I269/Policy!$B$14*(1+Policy!$B$15/100),0),"")</f>
        <v/>
      </c>
      <c r="L269" t="n">
        <v>21</v>
      </c>
      <c r="M269" t="inlineStr">
        <is>
          <t>stroke 240 mm, Fs 674319 N</t>
        </is>
      </c>
    </row>
    <row r="270">
      <c r="A270" t="inlineStr">
        <is>
          <t>JHQC21</t>
        </is>
      </c>
      <c r="B270" t="inlineStr">
        <is>
          <t>JHQ-C-21</t>
        </is>
      </c>
      <c r="C270" t="inlineStr">
        <is>
          <t>JHQC</t>
        </is>
      </c>
      <c r="D270" t="inlineStr">
        <is>
          <t>file</t>
        </is>
      </c>
      <c r="E270" t="n">
        <v>17698.56</v>
      </c>
      <c r="F270" t="inlineStr">
        <is>
          <t>pu_pricelist:inr</t>
        </is>
      </c>
      <c r="G270" t="n">
        <v>5955</v>
      </c>
      <c r="H270" t="n">
        <v>0</v>
      </c>
      <c r="I270" s="3" t="n">
        <v>17700</v>
      </c>
      <c r="J270">
        <f>IF(I270&gt;0,CEILING(I270*(1-Policy!$B$13/100),IF(I270&lt;10000,50,100)),"")</f>
        <v/>
      </c>
      <c r="K270">
        <f>IF(I270&gt;0,ROUNDUP(I270/Policy!$B$14*(1+Policy!$B$15/100),0),"")</f>
        <v/>
      </c>
      <c r="L270" t="n">
        <v>21</v>
      </c>
      <c r="M270" t="inlineStr">
        <is>
          <t>stroke 300 mm, Fs 674088 N</t>
        </is>
      </c>
    </row>
    <row r="271">
      <c r="A271" t="inlineStr">
        <is>
          <t>JHQC22</t>
        </is>
      </c>
      <c r="B271" t="inlineStr">
        <is>
          <t>JHQ-C-22</t>
        </is>
      </c>
      <c r="C271" t="inlineStr">
        <is>
          <t>JHQC</t>
        </is>
      </c>
      <c r="D271" t="inlineStr">
        <is>
          <t>file</t>
        </is>
      </c>
      <c r="E271" t="n">
        <v>24921.6</v>
      </c>
      <c r="F271" t="inlineStr">
        <is>
          <t>pu_pricelist:inr</t>
        </is>
      </c>
      <c r="G271" t="n">
        <v>6150</v>
      </c>
      <c r="H271" t="n">
        <v>0</v>
      </c>
      <c r="I271" s="3" t="n">
        <v>25000</v>
      </c>
      <c r="J271">
        <f>IF(I271&gt;0,CEILING(I271*(1-Policy!$B$13/100),IF(I271&lt;10000,50,100)),"")</f>
        <v/>
      </c>
      <c r="K271">
        <f>IF(I271&gt;0,ROUNDUP(I271/Policy!$B$14*(1+Policy!$B$15/100),0),"")</f>
        <v/>
      </c>
      <c r="L271" t="n">
        <v>21</v>
      </c>
      <c r="M271" t="inlineStr">
        <is>
          <t>stroke 337 mm, Fs 675028 N</t>
        </is>
      </c>
    </row>
    <row r="272">
      <c r="A272" t="inlineStr">
        <is>
          <t>JHQC24</t>
        </is>
      </c>
      <c r="B272" t="inlineStr">
        <is>
          <t>JHQ-C-24</t>
        </is>
      </c>
      <c r="C272" t="inlineStr">
        <is>
          <t>JHQC</t>
        </is>
      </c>
      <c r="D272" t="inlineStr">
        <is>
          <t>file</t>
        </is>
      </c>
      <c r="E272" t="n">
        <v>28000</v>
      </c>
      <c r="F272" t="inlineStr">
        <is>
          <t>pu_pricelist:inr</t>
        </is>
      </c>
      <c r="G272" t="n">
        <v>6840</v>
      </c>
      <c r="H272" t="n">
        <v>0</v>
      </c>
      <c r="I272" s="3" t="n">
        <v>28000</v>
      </c>
      <c r="J272">
        <f>IF(I272&gt;0,CEILING(I272*(1-Policy!$B$13/100),IF(I272&lt;10000,50,100)),"")</f>
        <v/>
      </c>
      <c r="K272">
        <f>IF(I272&gt;0,ROUNDUP(I272/Policy!$B$14*(1+Policy!$B$15/100),0),"")</f>
        <v/>
      </c>
      <c r="L272" t="n">
        <v>21</v>
      </c>
      <c r="M272" t="inlineStr">
        <is>
          <t>stroke 225 mm, Fs 1.05381e+06 N</t>
        </is>
      </c>
    </row>
    <row r="273">
      <c r="A273" t="inlineStr">
        <is>
          <t>JHQC23</t>
        </is>
      </c>
      <c r="B273" t="inlineStr">
        <is>
          <t>JHQ-C-23</t>
        </is>
      </c>
      <c r="C273" t="inlineStr">
        <is>
          <t>JHQC</t>
        </is>
      </c>
      <c r="D273" t="inlineStr">
        <is>
          <t>file</t>
        </is>
      </c>
      <c r="E273" t="n">
        <v>25600</v>
      </c>
      <c r="F273" t="inlineStr">
        <is>
          <t>pu_pricelist:inr</t>
        </is>
      </c>
      <c r="G273" t="n">
        <v>7635</v>
      </c>
      <c r="H273" t="n">
        <v>0</v>
      </c>
      <c r="I273" s="3" t="n">
        <v>25600</v>
      </c>
      <c r="J273">
        <f>IF(I273&gt;0,CEILING(I273*(1-Policy!$B$13/100),IF(I273&lt;10000,50,100)),"")</f>
        <v/>
      </c>
      <c r="K273">
        <f>IF(I273&gt;0,ROUNDUP(I273/Policy!$B$14*(1+Policy!$B$15/100),0),"")</f>
        <v/>
      </c>
      <c r="L273" t="n">
        <v>21</v>
      </c>
      <c r="M273" t="inlineStr">
        <is>
          <t>stroke 337 mm, Fs 1.05444e+06 N</t>
        </is>
      </c>
    </row>
    <row r="274">
      <c r="A274" t="inlineStr">
        <is>
          <t>SB1204A</t>
        </is>
      </c>
      <c r="B274" t="inlineStr">
        <is>
          <t>SB-1204A</t>
        </is>
      </c>
      <c r="C274" t="inlineStr">
        <is>
          <t>SB</t>
        </is>
      </c>
      <c r="D274" t="inlineStr">
        <is>
          <t>file</t>
        </is>
      </c>
      <c r="E274" t="n">
        <v>2800</v>
      </c>
      <c r="F274" t="inlineStr">
        <is>
          <t>product_list:market</t>
        </is>
      </c>
      <c r="G274" t="n">
        <v>3457</v>
      </c>
      <c r="H274" t="n">
        <v>0</v>
      </c>
      <c r="I274" s="3" t="n">
        <v>2800</v>
      </c>
      <c r="J274">
        <f>IF(I274&gt;0,CEILING(I274*(1-Policy!$B$13/100),IF(I274&lt;10000,50,100)),"")</f>
        <v/>
      </c>
      <c r="K274">
        <f>IF(I274&gt;0,ROUNDUP(I274/Policy!$B$14*(1+Policy!$B$15/100),0),"")</f>
        <v/>
      </c>
      <c r="L274" t="n">
        <v>28</v>
      </c>
      <c r="M274" t="inlineStr">
        <is>
          <t>stroke 55 mm, Fs 5091 N</t>
        </is>
      </c>
    </row>
    <row r="275">
      <c r="A275" t="inlineStr">
        <is>
          <t>SB1204B</t>
        </is>
      </c>
      <c r="B275" t="inlineStr">
        <is>
          <t>SB-1204B</t>
        </is>
      </c>
      <c r="C275" t="inlineStr">
        <is>
          <t>SB</t>
        </is>
      </c>
      <c r="D275" t="inlineStr">
        <is>
          <t>file</t>
        </is>
      </c>
      <c r="E275" t="n">
        <v>3800</v>
      </c>
      <c r="F275" t="inlineStr">
        <is>
          <t>spring_pricelist</t>
        </is>
      </c>
      <c r="G275" t="n">
        <v>5317</v>
      </c>
      <c r="H275" t="n">
        <v>0</v>
      </c>
      <c r="I275" s="3" t="n">
        <v>3800</v>
      </c>
      <c r="J275">
        <f>IF(I275&gt;0,CEILING(I275*(1-Policy!$B$13/100),IF(I275&lt;10000,50,100)),"")</f>
        <v/>
      </c>
      <c r="K275">
        <f>IF(I275&gt;0,ROUNDUP(I275/Policy!$B$14*(1+Policy!$B$15/100),0),"")</f>
        <v/>
      </c>
      <c r="L275" t="n">
        <v>28</v>
      </c>
      <c r="M275" t="inlineStr">
        <is>
          <t>stroke 75 mm, Fs 10400 N</t>
        </is>
      </c>
    </row>
    <row r="276">
      <c r="A276" t="inlineStr">
        <is>
          <t>SB1204C</t>
        </is>
      </c>
      <c r="B276" t="inlineStr">
        <is>
          <t>SB-1204C</t>
        </is>
      </c>
      <c r="C276" t="inlineStr">
        <is>
          <t>SB</t>
        </is>
      </c>
      <c r="D276" t="inlineStr">
        <is>
          <t>file</t>
        </is>
      </c>
      <c r="E276" t="n">
        <v>4800</v>
      </c>
      <c r="F276" t="inlineStr">
        <is>
          <t>product_list:market</t>
        </is>
      </c>
      <c r="G276" t="n">
        <v>10210</v>
      </c>
      <c r="H276" t="n">
        <v>0</v>
      </c>
      <c r="I276" s="3" t="n">
        <v>4800</v>
      </c>
      <c r="J276">
        <f>IF(I276&gt;0,CEILING(I276*(1-Policy!$B$13/100),IF(I276&lt;10000,50,100)),"")</f>
        <v/>
      </c>
      <c r="K276">
        <f>IF(I276&gt;0,ROUNDUP(I276/Policy!$B$14*(1+Policy!$B$15/100),0),"")</f>
        <v/>
      </c>
      <c r="L276" t="n">
        <v>28</v>
      </c>
      <c r="M276" t="inlineStr">
        <is>
          <t>stroke 100 mm, Fs 34000 N</t>
        </is>
      </c>
    </row>
    <row r="277">
      <c r="A277" t="inlineStr">
        <is>
          <t>SB1204D</t>
        </is>
      </c>
      <c r="B277" t="inlineStr">
        <is>
          <t>SB-1204D</t>
        </is>
      </c>
      <c r="C277" t="inlineStr">
        <is>
          <t>SB</t>
        </is>
      </c>
      <c r="D277" t="inlineStr">
        <is>
          <t>file</t>
        </is>
      </c>
      <c r="E277" t="n">
        <v>7650</v>
      </c>
      <c r="F277" t="inlineStr">
        <is>
          <t>product_list:b2b</t>
        </is>
      </c>
      <c r="G277" t="n">
        <v>11851</v>
      </c>
      <c r="H277" t="n">
        <v>0</v>
      </c>
      <c r="I277" s="3" t="n">
        <v>7650</v>
      </c>
      <c r="J277">
        <f>IF(I277&gt;0,CEILING(I277*(1-Policy!$B$13/100),IF(I277&lt;10000,50,100)),"")</f>
        <v/>
      </c>
      <c r="K277">
        <f>IF(I277&gt;0,ROUNDUP(I277/Policy!$B$14*(1+Policy!$B$15/100),0),"")</f>
        <v/>
      </c>
      <c r="L277" t="n">
        <v>28</v>
      </c>
      <c r="M277" t="inlineStr">
        <is>
          <t>stroke 125 mm, Fs 40800 N</t>
        </is>
      </c>
    </row>
    <row r="278">
      <c r="A278" t="inlineStr">
        <is>
          <t>SB1204E</t>
        </is>
      </c>
      <c r="B278" t="inlineStr">
        <is>
          <t>SB-1204E</t>
        </is>
      </c>
      <c r="C278" t="inlineStr">
        <is>
          <t>SB</t>
        </is>
      </c>
      <c r="D278" t="inlineStr">
        <is>
          <t>file</t>
        </is>
      </c>
      <c r="E278" t="n">
        <v>15500</v>
      </c>
      <c r="F278" t="inlineStr">
        <is>
          <t>spring_pricelist</t>
        </is>
      </c>
      <c r="G278" t="n">
        <v>14350</v>
      </c>
      <c r="H278" t="n">
        <v>0</v>
      </c>
      <c r="I278" s="3" t="n">
        <v>15500</v>
      </c>
      <c r="J278">
        <f>IF(I278&gt;0,CEILING(I278*(1-Policy!$B$13/100),IF(I278&lt;10000,50,100)),"")</f>
        <v/>
      </c>
      <c r="K278">
        <f>IF(I278&gt;0,ROUNDUP(I278/Policy!$B$14*(1+Policy!$B$15/100),0),"")</f>
        <v/>
      </c>
      <c r="L278" t="n">
        <v>28</v>
      </c>
      <c r="M278" t="inlineStr">
        <is>
          <t>stroke 150 mm, Fs 54667 N</t>
        </is>
      </c>
    </row>
    <row r="279">
      <c r="A279" t="inlineStr">
        <is>
          <t>SB1204F</t>
        </is>
      </c>
      <c r="B279" t="inlineStr">
        <is>
          <t>SB-1204F</t>
        </is>
      </c>
      <c r="C279" t="inlineStr">
        <is>
          <t>SB</t>
        </is>
      </c>
      <c r="D279" t="inlineStr">
        <is>
          <t>file</t>
        </is>
      </c>
      <c r="E279" t="n">
        <v>16500</v>
      </c>
      <c r="F279" t="inlineStr">
        <is>
          <t>spring_pricelist</t>
        </is>
      </c>
      <c r="G279" t="n">
        <v>16881</v>
      </c>
      <c r="H279" t="n">
        <v>0</v>
      </c>
      <c r="I279" s="3" t="n">
        <v>16500</v>
      </c>
      <c r="J279">
        <f>IF(I279&gt;0,CEILING(I279*(1-Policy!$B$13/100),IF(I279&lt;10000,50,100)),"")</f>
        <v/>
      </c>
      <c r="K279">
        <f>IF(I279&gt;0,ROUNDUP(I279/Policy!$B$14*(1+Policy!$B$15/100),0),"")</f>
        <v/>
      </c>
      <c r="L279" t="n">
        <v>28</v>
      </c>
      <c r="M279" t="inlineStr">
        <is>
          <t>stroke 110 mm, Fs 90909 N</t>
        </is>
      </c>
    </row>
    <row r="280">
      <c r="A280" t="inlineStr">
        <is>
          <t>SB1204G</t>
        </is>
      </c>
      <c r="B280" t="inlineStr">
        <is>
          <t>SB-1204G</t>
        </is>
      </c>
      <c r="C280" t="inlineStr">
        <is>
          <t>SB</t>
        </is>
      </c>
      <c r="D280" t="inlineStr">
        <is>
          <t>file</t>
        </is>
      </c>
      <c r="E280" t="n">
        <v>15800</v>
      </c>
      <c r="F280" t="inlineStr">
        <is>
          <t>product_list:market</t>
        </is>
      </c>
      <c r="G280" t="n">
        <v>15800</v>
      </c>
      <c r="H280" t="n">
        <v>0</v>
      </c>
      <c r="I280" s="3" t="n">
        <v>15800</v>
      </c>
      <c r="J280">
        <f>IF(I280&gt;0,CEILING(I280*(1-Policy!$B$13/100),IF(I280&lt;10000,50,100)),"")</f>
        <v/>
      </c>
      <c r="K280">
        <f>IF(I280&gt;0,ROUNDUP(I280/Policy!$B$14*(1+Policy!$B$15/100),0),"")</f>
        <v/>
      </c>
      <c r="L280" t="n">
        <v>28</v>
      </c>
      <c r="M280" t="inlineStr">
        <is>
          <t>stroke 150 mm, Fs 66667 N</t>
        </is>
      </c>
    </row>
    <row r="281">
      <c r="A281" t="inlineStr">
        <is>
          <t>SB1220A</t>
        </is>
      </c>
      <c r="B281" t="inlineStr">
        <is>
          <t>SB-1220-A</t>
        </is>
      </c>
      <c r="C281" t="inlineStr">
        <is>
          <t>SB</t>
        </is>
      </c>
      <c r="D281" t="inlineStr">
        <is>
          <t>file</t>
        </is>
      </c>
      <c r="E281" t="n">
        <v>22000</v>
      </c>
      <c r="F281" t="inlineStr">
        <is>
          <t>product_list:market</t>
        </is>
      </c>
      <c r="G281" t="n">
        <v>19760</v>
      </c>
      <c r="H281" t="n">
        <v>0</v>
      </c>
      <c r="I281" s="3" t="n">
        <v>22000</v>
      </c>
      <c r="J281">
        <f>IF(I281&gt;0,CEILING(I281*(1-Policy!$B$13/100),IF(I281&lt;10000,50,100)),"")</f>
        <v/>
      </c>
      <c r="K281">
        <f>IF(I281&gt;0,ROUNDUP(I281/Policy!$B$14*(1+Policy!$B$15/100),0),"")</f>
        <v/>
      </c>
      <c r="L281" t="n">
        <v>28</v>
      </c>
      <c r="M281" t="inlineStr">
        <is>
          <t>stroke 170 mm, Fs 83647 N</t>
        </is>
      </c>
    </row>
    <row r="282">
      <c r="A282" t="inlineStr">
        <is>
          <t>SB1220C</t>
        </is>
      </c>
      <c r="B282" t="inlineStr">
        <is>
          <t>SB-1220-C</t>
        </is>
      </c>
      <c r="C282" t="inlineStr">
        <is>
          <t>SB</t>
        </is>
      </c>
      <c r="D282" t="inlineStr">
        <is>
          <t>file</t>
        </is>
      </c>
      <c r="E282" t="n">
        <v>22000</v>
      </c>
      <c r="F282" t="inlineStr">
        <is>
          <t>product_list:b2b</t>
        </is>
      </c>
      <c r="G282" t="n">
        <v>20279</v>
      </c>
      <c r="H282" t="n">
        <v>0</v>
      </c>
      <c r="I282" s="3" t="n">
        <v>22000</v>
      </c>
      <c r="J282">
        <f>IF(I282&gt;0,CEILING(I282*(1-Policy!$B$13/100),IF(I282&lt;10000,50,100)),"")</f>
        <v/>
      </c>
      <c r="K282">
        <f>IF(I282&gt;0,ROUNDUP(I282/Policy!$B$14*(1+Policy!$B$15/100),0),"")</f>
        <v/>
      </c>
      <c r="L282" t="n">
        <v>28</v>
      </c>
      <c r="M282" t="inlineStr">
        <is>
          <t>stroke 170 mm, Fs 88235 N</t>
        </is>
      </c>
    </row>
    <row r="283">
      <c r="A283" t="inlineStr">
        <is>
          <t>SB1220E</t>
        </is>
      </c>
      <c r="B283" t="inlineStr">
        <is>
          <t>SB-1220-E</t>
        </is>
      </c>
      <c r="C283" t="inlineStr">
        <is>
          <t>SB</t>
        </is>
      </c>
      <c r="D283" t="inlineStr">
        <is>
          <t>file</t>
        </is>
      </c>
      <c r="E283" t="n">
        <v>22000</v>
      </c>
      <c r="F283" t="inlineStr">
        <is>
          <t>product_list:b2b</t>
        </is>
      </c>
      <c r="G283" t="n">
        <v>20574</v>
      </c>
      <c r="H283" t="n">
        <v>0</v>
      </c>
      <c r="I283" s="3" t="n">
        <v>22000</v>
      </c>
      <c r="J283">
        <f>IF(I283&gt;0,CEILING(I283*(1-Policy!$B$13/100),IF(I283&lt;10000,50,100)),"")</f>
        <v/>
      </c>
      <c r="K283">
        <f>IF(I283&gt;0,ROUNDUP(I283/Policy!$B$14*(1+Policy!$B$15/100),0),"")</f>
        <v/>
      </c>
      <c r="L283" t="n">
        <v>28</v>
      </c>
      <c r="M283" t="inlineStr">
        <is>
          <t>stroke 200 mm, Fs 83000 N</t>
        </is>
      </c>
    </row>
    <row r="284">
      <c r="A284" t="inlineStr">
        <is>
          <t>SB1220L</t>
        </is>
      </c>
      <c r="B284" t="inlineStr">
        <is>
          <t>SB-1220-L</t>
        </is>
      </c>
      <c r="C284" t="inlineStr">
        <is>
          <t>SB</t>
        </is>
      </c>
      <c r="D284" t="inlineStr">
        <is>
          <t>file</t>
        </is>
      </c>
      <c r="E284" t="n">
        <v>21800</v>
      </c>
      <c r="F284" t="inlineStr">
        <is>
          <t>product_list:b2b</t>
        </is>
      </c>
      <c r="G284" t="n">
        <v>20574</v>
      </c>
      <c r="H284" t="n">
        <v>0</v>
      </c>
      <c r="I284" s="3" t="n">
        <v>21800</v>
      </c>
      <c r="J284">
        <f>IF(I284&gt;0,CEILING(I284*(1-Policy!$B$13/100),IF(I284&lt;10000,50,100)),"")</f>
        <v/>
      </c>
      <c r="K284">
        <f>IF(I284&gt;0,ROUNDUP(I284/Policy!$B$14*(1+Policy!$B$15/100),0),"")</f>
        <v/>
      </c>
      <c r="L284" t="n">
        <v>28</v>
      </c>
      <c r="M284" t="inlineStr">
        <is>
          <t>stroke 200 mm, Fs 83000 N</t>
        </is>
      </c>
    </row>
    <row r="285">
      <c r="A285" t="inlineStr">
        <is>
          <t>SB1220D</t>
        </is>
      </c>
      <c r="B285" t="inlineStr">
        <is>
          <t>SB-1220-D</t>
        </is>
      </c>
      <c r="C285" t="inlineStr">
        <is>
          <t>SB</t>
        </is>
      </c>
      <c r="D285" t="inlineStr">
        <is>
          <t>file</t>
        </is>
      </c>
      <c r="E285" t="n">
        <v>23000</v>
      </c>
      <c r="F285" t="inlineStr">
        <is>
          <t>spring_pricelist</t>
        </is>
      </c>
      <c r="G285" t="n">
        <v>21854</v>
      </c>
      <c r="H285" t="n">
        <v>0</v>
      </c>
      <c r="I285" s="3" t="n">
        <v>23000</v>
      </c>
      <c r="J285">
        <f>IF(I285&gt;0,CEILING(I285*(1-Policy!$B$13/100),IF(I285&lt;10000,50,100)),"")</f>
        <v/>
      </c>
      <c r="K285">
        <f>IF(I285&gt;0,ROUNDUP(I285/Policy!$B$14*(1+Policy!$B$15/100),0),"")</f>
        <v/>
      </c>
      <c r="L285" t="n">
        <v>28</v>
      </c>
      <c r="M285" t="inlineStr">
        <is>
          <t>stroke 200 mm, Fs 94000 N</t>
        </is>
      </c>
    </row>
    <row r="286">
      <c r="A286" t="inlineStr">
        <is>
          <t>SB1220B</t>
        </is>
      </c>
      <c r="B286" t="inlineStr">
        <is>
          <t>SB-1220-B</t>
        </is>
      </c>
      <c r="C286" t="inlineStr">
        <is>
          <t>SB</t>
        </is>
      </c>
      <c r="D286" t="inlineStr">
        <is>
          <t>file</t>
        </is>
      </c>
      <c r="E286" t="n">
        <v>23200</v>
      </c>
      <c r="F286" t="inlineStr">
        <is>
          <t>product_list:b2b</t>
        </is>
      </c>
      <c r="G286" t="n">
        <v>21885</v>
      </c>
      <c r="H286" t="n">
        <v>0</v>
      </c>
      <c r="I286" s="3" t="n">
        <v>23200</v>
      </c>
      <c r="J286">
        <f>IF(I286&gt;0,CEILING(I286*(1-Policy!$B$13/100),IF(I286&lt;10000,50,100)),"")</f>
        <v/>
      </c>
      <c r="K286">
        <f>IF(I286&gt;0,ROUNDUP(I286/Policy!$B$14*(1+Policy!$B$15/100),0),"")</f>
        <v/>
      </c>
      <c r="L286" t="n">
        <v>28</v>
      </c>
      <c r="M286" t="inlineStr">
        <is>
          <t>stroke 250 mm, Fs 83200 N</t>
        </is>
      </c>
    </row>
    <row r="287">
      <c r="A287" t="inlineStr">
        <is>
          <t>SB1220K</t>
        </is>
      </c>
      <c r="B287" t="inlineStr">
        <is>
          <t>SB-1220-K</t>
        </is>
      </c>
      <c r="C287" t="inlineStr">
        <is>
          <t>SB</t>
        </is>
      </c>
      <c r="D287" t="inlineStr">
        <is>
          <t>file</t>
        </is>
      </c>
      <c r="E287" t="n">
        <v>19800</v>
      </c>
      <c r="F287" t="inlineStr">
        <is>
          <t>product_list:b2b</t>
        </is>
      </c>
      <c r="G287" t="n">
        <v>24745</v>
      </c>
      <c r="H287" t="n">
        <v>0</v>
      </c>
      <c r="I287" s="3" t="n">
        <v>19800</v>
      </c>
      <c r="J287">
        <f>IF(I287&gt;0,CEILING(I287*(1-Policy!$B$13/100),IF(I287&lt;10000,50,100)),"")</f>
        <v/>
      </c>
      <c r="K287">
        <f>IF(I287&gt;0,ROUNDUP(I287/Policy!$B$14*(1+Policy!$B$15/100),0),"")</f>
        <v/>
      </c>
      <c r="L287" t="n">
        <v>28</v>
      </c>
      <c r="M287" t="inlineStr">
        <is>
          <t>stroke 150 mm, Fs 142667 N</t>
        </is>
      </c>
    </row>
    <row r="288">
      <c r="A288" t="inlineStr">
        <is>
          <t>SB1220H</t>
        </is>
      </c>
      <c r="B288" t="inlineStr">
        <is>
          <t>SB-1220-H</t>
        </is>
      </c>
      <c r="C288" t="inlineStr">
        <is>
          <t>SB</t>
        </is>
      </c>
      <c r="D288" t="inlineStr">
        <is>
          <t>file</t>
        </is>
      </c>
      <c r="E288" t="n">
        <v>24000</v>
      </c>
      <c r="F288" t="inlineStr">
        <is>
          <t>product_list:market</t>
        </is>
      </c>
      <c r="G288" t="n">
        <v>23926</v>
      </c>
      <c r="H288" t="n">
        <v>0</v>
      </c>
      <c r="I288" s="3" t="n">
        <v>24000</v>
      </c>
      <c r="J288">
        <f>IF(I288&gt;0,CEILING(I288*(1-Policy!$B$13/100),IF(I288&lt;10000,50,100)),"")</f>
        <v/>
      </c>
      <c r="K288">
        <f>IF(I288&gt;0,ROUNDUP(I288/Policy!$B$14*(1+Policy!$B$15/100),0),"")</f>
        <v/>
      </c>
      <c r="L288" t="n">
        <v>28</v>
      </c>
      <c r="M288" t="inlineStr">
        <is>
          <t>stroke 250 mm, Fs 100000 N</t>
        </is>
      </c>
    </row>
    <row r="289">
      <c r="A289" t="inlineStr">
        <is>
          <t>SB1220M</t>
        </is>
      </c>
      <c r="B289" t="inlineStr">
        <is>
          <t>SB-1220-M</t>
        </is>
      </c>
      <c r="C289" t="inlineStr">
        <is>
          <t>SB</t>
        </is>
      </c>
      <c r="D289" t="inlineStr">
        <is>
          <t>file</t>
        </is>
      </c>
      <c r="E289" t="n">
        <v>22800</v>
      </c>
      <c r="F289" t="inlineStr">
        <is>
          <t>product_list:b2b</t>
        </is>
      </c>
      <c r="G289" t="n">
        <v>25093</v>
      </c>
      <c r="H289" t="n">
        <v>0</v>
      </c>
      <c r="I289" s="3" t="n">
        <v>22800</v>
      </c>
      <c r="J289">
        <f>IF(I289&gt;0,CEILING(I289*(1-Policy!$B$13/100),IF(I289&lt;10000,50,100)),"")</f>
        <v/>
      </c>
      <c r="K289">
        <f>IF(I289&gt;0,ROUNDUP(I289/Policy!$B$14*(1+Policy!$B$15/100),0),"")</f>
        <v/>
      </c>
      <c r="L289" t="n">
        <v>28</v>
      </c>
      <c r="M289" t="inlineStr">
        <is>
          <t>stroke 200 mm, Fs 125000 N</t>
        </is>
      </c>
    </row>
    <row r="290">
      <c r="A290" t="inlineStr">
        <is>
          <t>SB1220P</t>
        </is>
      </c>
      <c r="B290" t="inlineStr">
        <is>
          <t>SB-1220-P</t>
        </is>
      </c>
      <c r="C290" t="inlineStr">
        <is>
          <t>SB</t>
        </is>
      </c>
      <c r="D290" t="inlineStr">
        <is>
          <t>file</t>
        </is>
      </c>
      <c r="E290" t="n">
        <v>21800</v>
      </c>
      <c r="F290" t="inlineStr">
        <is>
          <t>product_list:b2b</t>
        </is>
      </c>
      <c r="G290" t="n">
        <v>26682</v>
      </c>
      <c r="H290" t="n">
        <v>0</v>
      </c>
      <c r="I290" s="3" t="n">
        <v>21800</v>
      </c>
      <c r="J290">
        <f>IF(I290&gt;0,CEILING(I290*(1-Policy!$B$13/100),IF(I290&lt;10000,50,100)),"")</f>
        <v/>
      </c>
      <c r="K290">
        <f>IF(I290&gt;0,ROUNDUP(I290/Policy!$B$14*(1+Policy!$B$15/100),0),"")</f>
        <v/>
      </c>
      <c r="L290" t="n">
        <v>28</v>
      </c>
      <c r="M290" t="inlineStr">
        <is>
          <t>stroke 150 mm, Fs 166667 N</t>
        </is>
      </c>
    </row>
    <row r="291">
      <c r="A291" t="inlineStr">
        <is>
          <t>SB1220G</t>
        </is>
      </c>
      <c r="B291" t="inlineStr">
        <is>
          <t>SB-1220-G</t>
        </is>
      </c>
      <c r="C291" t="inlineStr">
        <is>
          <t>SB</t>
        </is>
      </c>
      <c r="D291" t="inlineStr">
        <is>
          <t>file</t>
        </is>
      </c>
      <c r="E291" t="n">
        <v>25200</v>
      </c>
      <c r="F291" t="inlineStr">
        <is>
          <t>product_list:b2b</t>
        </is>
      </c>
      <c r="G291" t="n">
        <v>25278</v>
      </c>
      <c r="H291" t="n">
        <v>0</v>
      </c>
      <c r="I291" s="3" t="n">
        <v>25200</v>
      </c>
      <c r="J291">
        <f>IF(I291&gt;0,CEILING(I291*(1-Policy!$B$13/100),IF(I291&lt;10000,50,100)),"")</f>
        <v/>
      </c>
      <c r="K291">
        <f>IF(I291&gt;0,ROUNDUP(I291/Policy!$B$14*(1+Policy!$B$15/100),0),"")</f>
        <v/>
      </c>
      <c r="L291" t="n">
        <v>28</v>
      </c>
      <c r="M291" t="inlineStr">
        <is>
          <t>stroke 250 mm, Fs 112000 N</t>
        </is>
      </c>
    </row>
    <row r="292">
      <c r="A292" t="inlineStr">
        <is>
          <t>SB1220N</t>
        </is>
      </c>
      <c r="B292" t="inlineStr">
        <is>
          <t>SB-1220-N</t>
        </is>
      </c>
      <c r="C292" t="inlineStr">
        <is>
          <t>SB</t>
        </is>
      </c>
      <c r="D292" t="inlineStr">
        <is>
          <t>file</t>
        </is>
      </c>
      <c r="E292" t="n">
        <v>21800</v>
      </c>
      <c r="F292" t="inlineStr">
        <is>
          <t>product_list:b2b</t>
        </is>
      </c>
      <c r="G292" t="n">
        <v>28190</v>
      </c>
      <c r="H292" t="n">
        <v>0</v>
      </c>
      <c r="I292" s="3" t="n">
        <v>21800</v>
      </c>
      <c r="J292">
        <f>IF(I292&gt;0,CEILING(I292*(1-Policy!$B$13/100),IF(I292&lt;10000,50,100)),"")</f>
        <v/>
      </c>
      <c r="K292">
        <f>IF(I292&gt;0,ROUNDUP(I292/Policy!$B$14*(1+Policy!$B$15/100),0),"")</f>
        <v/>
      </c>
      <c r="L292" t="n">
        <v>28</v>
      </c>
      <c r="M292" t="inlineStr">
        <is>
          <t>stroke 150 mm, Fs 186667 N</t>
        </is>
      </c>
    </row>
    <row r="293">
      <c r="A293" t="inlineStr">
        <is>
          <t>SB1220F</t>
        </is>
      </c>
      <c r="B293" t="inlineStr">
        <is>
          <t>SB-1220-F</t>
        </is>
      </c>
      <c r="C293" t="inlineStr">
        <is>
          <t>SB</t>
        </is>
      </c>
      <c r="D293" t="inlineStr">
        <is>
          <t>file</t>
        </is>
      </c>
      <c r="E293" t="n">
        <v>26500</v>
      </c>
      <c r="F293" t="inlineStr">
        <is>
          <t>product_list:b2b</t>
        </is>
      </c>
      <c r="G293" t="n">
        <v>27205</v>
      </c>
      <c r="H293" t="n">
        <v>0</v>
      </c>
      <c r="I293" s="3" t="n">
        <v>26500</v>
      </c>
      <c r="J293">
        <f>IF(I293&gt;0,CEILING(I293*(1-Policy!$B$13/100),IF(I293&lt;10000,50,100)),"")</f>
        <v/>
      </c>
      <c r="K293">
        <f>IF(I293&gt;0,ROUNDUP(I293/Policy!$B$14*(1+Policy!$B$15/100),0),"")</f>
        <v/>
      </c>
      <c r="L293" t="n">
        <v>28</v>
      </c>
      <c r="M293" t="inlineStr">
        <is>
          <t>stroke 240 mm, Fs 133333 N</t>
        </is>
      </c>
    </row>
    <row r="294">
      <c r="A294" t="inlineStr">
        <is>
          <t>SB1220J</t>
        </is>
      </c>
      <c r="B294" t="inlineStr">
        <is>
          <t>SB-1220-J</t>
        </is>
      </c>
      <c r="C294" t="inlineStr">
        <is>
          <t>SB</t>
        </is>
      </c>
      <c r="D294" t="inlineStr">
        <is>
          <t>file</t>
        </is>
      </c>
      <c r="E294" t="n">
        <v>28000</v>
      </c>
      <c r="F294" t="inlineStr">
        <is>
          <t>product_list:b2b</t>
        </is>
      </c>
      <c r="G294" t="n">
        <v>35082</v>
      </c>
      <c r="H294" t="n">
        <v>0</v>
      </c>
      <c r="I294" s="3" t="n">
        <v>28000</v>
      </c>
      <c r="J294">
        <f>IF(I294&gt;0,CEILING(I294*(1-Policy!$B$13/100),IF(I294&lt;10000,50,100)),"")</f>
        <v/>
      </c>
      <c r="K294">
        <f>IF(I294&gt;0,ROUNDUP(I294/Policy!$B$14*(1+Policy!$B$15/100),0),"")</f>
        <v/>
      </c>
      <c r="L294" t="n">
        <v>28</v>
      </c>
      <c r="M294" t="inlineStr">
        <is>
          <t>stroke 260 mm, Fs 215385 N</t>
        </is>
      </c>
    </row>
    <row r="295">
      <c r="A295" t="inlineStr">
        <is>
          <t>YSR88</t>
        </is>
      </c>
      <c r="B295" t="inlineStr">
        <is>
          <t>YSR-8-8</t>
        </is>
      </c>
      <c r="C295" t="inlineStr">
        <is>
          <t>YSRA</t>
        </is>
      </c>
      <c r="D295" t="inlineStr">
        <is>
          <t>file</t>
        </is>
      </c>
      <c r="E295" t="n">
        <v>2500</v>
      </c>
      <c r="F295" t="inlineStr">
        <is>
          <t>price list 2019 (Price List India 2022-23.pdf)</t>
        </is>
      </c>
      <c r="G295" s="6" t="n">
        <v>1205</v>
      </c>
      <c r="H295" t="n">
        <v>0</v>
      </c>
      <c r="I295" s="3" t="n">
        <v>2500</v>
      </c>
      <c r="J295">
        <f>IF(I295&gt;0,CEILING(I295*(1-Policy!$B$13/100),IF(I295&lt;10000,50,100)),"")</f>
        <v/>
      </c>
      <c r="K295">
        <f>IF(I295&gt;0,ROUNDUP(I295/Policy!$B$14*(1+Policy!$B$15/100),0),"")</f>
        <v/>
      </c>
      <c r="L295" t="n">
        <v>35</v>
      </c>
      <c r="M295" t="inlineStr">
        <is>
          <t>stroke 10 mm, Fs 625 N</t>
        </is>
      </c>
    </row>
    <row r="296">
      <c r="A296" t="inlineStr">
        <is>
          <t>YSR1212</t>
        </is>
      </c>
      <c r="B296" t="inlineStr">
        <is>
          <t>YSR-12-12</t>
        </is>
      </c>
      <c r="C296" t="inlineStr">
        <is>
          <t>YSRA</t>
        </is>
      </c>
      <c r="D296" t="inlineStr">
        <is>
          <t>file</t>
        </is>
      </c>
      <c r="E296" t="n">
        <v>2200</v>
      </c>
      <c r="F296" t="inlineStr">
        <is>
          <t>price list 2019 (Price List India 2022-23.pdf)</t>
        </is>
      </c>
      <c r="G296" t="n">
        <v>1800</v>
      </c>
      <c r="H296" t="n">
        <v>0</v>
      </c>
      <c r="I296" s="3" t="n">
        <v>2200</v>
      </c>
      <c r="J296">
        <f>IF(I296&gt;0,CEILING(I296*(1-Policy!$B$13/100),IF(I296&lt;10000,50,100)),"")</f>
        <v/>
      </c>
      <c r="K296">
        <f>IF(I296&gt;0,ROUNDUP(I296/Policy!$B$14*(1+Policy!$B$15/100),0),"")</f>
        <v/>
      </c>
      <c r="L296" t="n">
        <v>35</v>
      </c>
      <c r="M296" t="inlineStr">
        <is>
          <t>stroke 13 mm, Fs 962 N</t>
        </is>
      </c>
    </row>
    <row r="297">
      <c r="A297" t="inlineStr">
        <is>
          <t>YSR1620</t>
        </is>
      </c>
      <c r="B297" t="inlineStr">
        <is>
          <t>YSR-16-20</t>
        </is>
      </c>
      <c r="C297" t="inlineStr">
        <is>
          <t>YSRA</t>
        </is>
      </c>
      <c r="D297" t="inlineStr">
        <is>
          <t>file</t>
        </is>
      </c>
      <c r="E297" t="n">
        <v>2800</v>
      </c>
      <c r="F297" t="inlineStr">
        <is>
          <t>product_list:b2b</t>
        </is>
      </c>
      <c r="G297" t="n">
        <v>2800</v>
      </c>
      <c r="H297" t="n">
        <v>0</v>
      </c>
      <c r="I297" s="3" t="n">
        <v>2800</v>
      </c>
      <c r="J297">
        <f>IF(I297&gt;0,CEILING(I297*(1-Policy!$B$13/100),IF(I297&lt;10000,50,100)),"")</f>
        <v/>
      </c>
      <c r="K297">
        <f>IF(I297&gt;0,ROUNDUP(I297/Policy!$B$14*(1+Policy!$B$15/100),0),"")</f>
        <v/>
      </c>
      <c r="L297" t="n">
        <v>35</v>
      </c>
      <c r="M297" t="inlineStr">
        <is>
          <t>stroke 20 mm, Fs 3125 N</t>
        </is>
      </c>
    </row>
    <row r="298">
      <c r="A298" t="inlineStr">
        <is>
          <t>YSR2025</t>
        </is>
      </c>
      <c r="B298" t="inlineStr">
        <is>
          <t>YSR-20-25</t>
        </is>
      </c>
      <c r="C298" t="inlineStr">
        <is>
          <t>YSRA</t>
        </is>
      </c>
      <c r="D298" t="inlineStr">
        <is>
          <t>file</t>
        </is>
      </c>
      <c r="E298" t="n">
        <v>3800</v>
      </c>
      <c r="F298" t="inlineStr">
        <is>
          <t>product_list:market</t>
        </is>
      </c>
      <c r="G298" t="n">
        <v>3800</v>
      </c>
      <c r="H298" t="n">
        <v>0</v>
      </c>
      <c r="I298" s="3" t="n">
        <v>3800</v>
      </c>
      <c r="J298">
        <f>IF(I298&gt;0,CEILING(I298*(1-Policy!$B$13/100),IF(I298&lt;10000,50,100)),"")</f>
        <v/>
      </c>
      <c r="K298">
        <f>IF(I298&gt;0,ROUNDUP(I298/Policy!$B$14*(1+Policy!$B$15/100),0),"")</f>
        <v/>
      </c>
      <c r="L298" t="n">
        <v>35</v>
      </c>
      <c r="M298" t="inlineStr">
        <is>
          <t>stroke 25 mm, Fs 4000 N</t>
        </is>
      </c>
    </row>
    <row r="299">
      <c r="A299" t="inlineStr">
        <is>
          <t>ACX3350</t>
        </is>
      </c>
      <c r="B299" t="inlineStr">
        <is>
          <t>ACX-33-50</t>
        </is>
      </c>
      <c r="C299" t="inlineStr">
        <is>
          <t>ACX</t>
        </is>
      </c>
      <c r="D299" t="inlineStr">
        <is>
          <t>model</t>
        </is>
      </c>
      <c r="G299" s="6" t="n">
        <v>5461</v>
      </c>
      <c r="H299" t="n">
        <v>25</v>
      </c>
      <c r="I299" s="3" t="n">
        <v>6850</v>
      </c>
      <c r="J299">
        <f>IF(I299&gt;0,CEILING(I299*(1-Policy!$B$13/100),IF(I299&lt;10000,50,100)),"")</f>
        <v/>
      </c>
      <c r="K299">
        <f>IF(I299&gt;0,ROUNDUP(I299/Policy!$B$14*(1+Policy!$B$15/100),0),"")</f>
        <v/>
      </c>
      <c r="L299" t="n">
        <v>21</v>
      </c>
      <c r="M299" t="inlineStr">
        <is>
          <t>stroke 48.5 mm, Fs 9021 N</t>
        </is>
      </c>
    </row>
    <row r="300">
      <c r="A300" t="inlineStr">
        <is>
          <t>ACX3650</t>
        </is>
      </c>
      <c r="B300" t="inlineStr">
        <is>
          <t>ACX-36-50</t>
        </is>
      </c>
      <c r="C300" t="inlineStr">
        <is>
          <t>ACX</t>
        </is>
      </c>
      <c r="D300" t="inlineStr">
        <is>
          <t>model</t>
        </is>
      </c>
      <c r="G300" s="6" t="n">
        <v>5461</v>
      </c>
      <c r="H300" t="n">
        <v>25</v>
      </c>
      <c r="I300" s="3" t="n">
        <v>6850</v>
      </c>
      <c r="J300">
        <f>IF(I300&gt;0,CEILING(I300*(1-Policy!$B$13/100),IF(I300&lt;10000,50,100)),"")</f>
        <v/>
      </c>
      <c r="K300">
        <f>IF(I300&gt;0,ROUNDUP(I300/Policy!$B$14*(1+Policy!$B$15/100),0),"")</f>
        <v/>
      </c>
      <c r="L300" t="n">
        <v>21</v>
      </c>
      <c r="M300" t="inlineStr">
        <is>
          <t>stroke 48.5 mm, Fs 9021 N</t>
        </is>
      </c>
    </row>
    <row r="301">
      <c r="A301" t="inlineStr">
        <is>
          <t>AKHG85300</t>
        </is>
      </c>
      <c r="B301" t="inlineStr">
        <is>
          <t>AKHG 85-300</t>
        </is>
      </c>
      <c r="C301" t="inlineStr">
        <is>
          <t>AKHG</t>
        </is>
      </c>
      <c r="D301" t="inlineStr">
        <is>
          <t>file</t>
        </is>
      </c>
      <c r="E301" t="n">
        <v>31700</v>
      </c>
      <c r="F301" t="inlineStr">
        <is>
          <t>product_list:market</t>
        </is>
      </c>
      <c r="G301" t="n">
        <v>31726</v>
      </c>
      <c r="H301" t="n">
        <v>0</v>
      </c>
      <c r="I301" s="3" t="n">
        <v>31700</v>
      </c>
      <c r="J301">
        <f>IF(I301&gt;0,CEILING(I301*(1-Policy!$B$13/100),IF(I301&lt;10000,50,100)),"")</f>
        <v/>
      </c>
      <c r="K301">
        <f>IF(I301&gt;0,ROUNDUP(I301/Policy!$B$14*(1+Policy!$B$15/100),0),"")</f>
        <v/>
      </c>
      <c r="L301" t="n">
        <v>42</v>
      </c>
      <c r="M301" t="inlineStr">
        <is>
          <t>stroke 300 mm, Fs 200000 N</t>
        </is>
      </c>
    </row>
    <row r="302">
      <c r="A302" t="inlineStr">
        <is>
          <t>AKHG85400</t>
        </is>
      </c>
      <c r="B302" t="inlineStr">
        <is>
          <t>AKHG 85-400</t>
        </is>
      </c>
      <c r="C302" t="inlineStr">
        <is>
          <t>AKHG</t>
        </is>
      </c>
      <c r="D302" t="inlineStr">
        <is>
          <t>file</t>
        </is>
      </c>
      <c r="E302" t="n">
        <v>33000</v>
      </c>
      <c r="F302" t="inlineStr">
        <is>
          <t>product_list:market</t>
        </is>
      </c>
      <c r="G302" t="n">
        <v>33980</v>
      </c>
      <c r="H302" t="n">
        <v>0</v>
      </c>
      <c r="I302" s="3" t="n">
        <v>33000</v>
      </c>
      <c r="J302">
        <f>IF(I302&gt;0,CEILING(I302*(1-Policy!$B$13/100),IF(I302&lt;10000,50,100)),"")</f>
        <v/>
      </c>
      <c r="K302">
        <f>IF(I302&gt;0,ROUNDUP(I302/Policy!$B$14*(1+Policy!$B$15/100),0),"")</f>
        <v/>
      </c>
      <c r="L302" t="n">
        <v>42</v>
      </c>
      <c r="M302" t="inlineStr">
        <is>
          <t>stroke 400 mm, Fs 200000 N</t>
        </is>
      </c>
    </row>
    <row r="303">
      <c r="A303" t="inlineStr">
        <is>
          <t>AKHG85500</t>
        </is>
      </c>
      <c r="B303" t="inlineStr">
        <is>
          <t>AKHG 85-500</t>
        </is>
      </c>
      <c r="C303" t="inlineStr">
        <is>
          <t>AKHG</t>
        </is>
      </c>
      <c r="D303" t="inlineStr">
        <is>
          <t>file</t>
        </is>
      </c>
      <c r="E303" t="n">
        <v>34500</v>
      </c>
      <c r="F303" t="inlineStr">
        <is>
          <t>akhg_pricelist</t>
        </is>
      </c>
      <c r="G303" t="n">
        <v>35838</v>
      </c>
      <c r="H303" t="n">
        <v>0</v>
      </c>
      <c r="I303" s="3" t="n">
        <v>34500</v>
      </c>
      <c r="J303">
        <f>IF(I303&gt;0,CEILING(I303*(1-Policy!$B$13/100),IF(I303&lt;10000,50,100)),"")</f>
        <v/>
      </c>
      <c r="K303">
        <f>IF(I303&gt;0,ROUNDUP(I303/Policy!$B$14*(1+Policy!$B$15/100),0),"")</f>
        <v/>
      </c>
      <c r="L303" t="n">
        <v>42</v>
      </c>
      <c r="M303" t="inlineStr">
        <is>
          <t>stroke 500 mm, Fs 200000 N</t>
        </is>
      </c>
    </row>
    <row r="304">
      <c r="A304" t="inlineStr">
        <is>
          <t>AKHG130100</t>
        </is>
      </c>
      <c r="B304" t="inlineStr">
        <is>
          <t>AKHG 130-100</t>
        </is>
      </c>
      <c r="C304" t="inlineStr">
        <is>
          <t>AKHG</t>
        </is>
      </c>
      <c r="D304" t="inlineStr">
        <is>
          <t>file</t>
        </is>
      </c>
      <c r="E304" t="n">
        <v>57500</v>
      </c>
      <c r="F304" t="inlineStr">
        <is>
          <t>product_list:market</t>
        </is>
      </c>
      <c r="G304" t="n">
        <v>55522</v>
      </c>
      <c r="H304" t="n">
        <v>0</v>
      </c>
      <c r="I304" s="3" t="n">
        <v>57500</v>
      </c>
      <c r="J304">
        <f>IF(I304&gt;0,CEILING(I304*(1-Policy!$B$13/100),IF(I304&lt;10000,50,100)),"")</f>
        <v/>
      </c>
      <c r="K304">
        <f>IF(I304&gt;0,ROUNDUP(I304/Policy!$B$14*(1+Policy!$B$15/100),0),"")</f>
        <v/>
      </c>
      <c r="L304" t="n">
        <v>42</v>
      </c>
      <c r="M304" t="inlineStr">
        <is>
          <t>stroke 100 mm, Fs 600000 N</t>
        </is>
      </c>
    </row>
    <row r="305">
      <c r="A305" t="inlineStr">
        <is>
          <t>AKHG130150</t>
        </is>
      </c>
      <c r="B305" t="inlineStr">
        <is>
          <t>AKHG 130-150</t>
        </is>
      </c>
      <c r="C305" t="inlineStr">
        <is>
          <t>AKHG</t>
        </is>
      </c>
      <c r="D305" t="inlineStr">
        <is>
          <t>file</t>
        </is>
      </c>
      <c r="E305" t="n">
        <v>57400</v>
      </c>
      <c r="F305" t="inlineStr">
        <is>
          <t>akhg_pricelist</t>
        </is>
      </c>
      <c r="G305" t="n">
        <v>61162</v>
      </c>
      <c r="H305" t="n">
        <v>0</v>
      </c>
      <c r="I305" s="3" t="n">
        <v>57400</v>
      </c>
      <c r="J305">
        <f>IF(I305&gt;0,CEILING(I305*(1-Policy!$B$13/100),IF(I305&lt;10000,50,100)),"")</f>
        <v/>
      </c>
      <c r="K305">
        <f>IF(I305&gt;0,ROUNDUP(I305/Policy!$B$14*(1+Policy!$B$15/100),0),"")</f>
        <v/>
      </c>
      <c r="L305" t="n">
        <v>42</v>
      </c>
      <c r="M305" t="inlineStr">
        <is>
          <t>stroke 150 mm, Fs 600000 N</t>
        </is>
      </c>
    </row>
    <row r="306">
      <c r="A306" t="inlineStr">
        <is>
          <t>AKHG130200</t>
        </is>
      </c>
      <c r="B306" t="inlineStr">
        <is>
          <t>AKHG 130-200</t>
        </is>
      </c>
      <c r="C306" t="inlineStr">
        <is>
          <t>AKHG</t>
        </is>
      </c>
      <c r="D306" t="inlineStr">
        <is>
          <t>file</t>
        </is>
      </c>
      <c r="E306" t="n">
        <v>61600</v>
      </c>
      <c r="F306" t="inlineStr">
        <is>
          <t>akhg_pricelist</t>
        </is>
      </c>
      <c r="G306" t="n">
        <v>65508</v>
      </c>
      <c r="H306" t="n">
        <v>0</v>
      </c>
      <c r="I306" s="3" t="n">
        <v>61600</v>
      </c>
      <c r="J306">
        <f>IF(I306&gt;0,CEILING(I306*(1-Policy!$B$13/100),IF(I306&lt;10000,50,100)),"")</f>
        <v/>
      </c>
      <c r="K306">
        <f>IF(I306&gt;0,ROUNDUP(I306/Policy!$B$14*(1+Policy!$B$15/100),0),"")</f>
        <v/>
      </c>
      <c r="L306" t="n">
        <v>42</v>
      </c>
      <c r="M306" t="inlineStr">
        <is>
          <t>stroke 200 mm, Fs 600000 N</t>
        </is>
      </c>
    </row>
    <row r="307">
      <c r="A307" t="inlineStr">
        <is>
          <t>AKHG1301000</t>
        </is>
      </c>
      <c r="B307" t="inlineStr">
        <is>
          <t>AKHG 130-1000</t>
        </is>
      </c>
      <c r="C307" t="inlineStr">
        <is>
          <t>AKHG</t>
        </is>
      </c>
      <c r="D307" t="inlineStr">
        <is>
          <t>file</t>
        </is>
      </c>
      <c r="E307" t="n">
        <v>105200</v>
      </c>
      <c r="F307" t="inlineStr">
        <is>
          <t>product_list:b2b</t>
        </is>
      </c>
      <c r="G307" t="n">
        <v>84559</v>
      </c>
      <c r="H307" t="n">
        <v>0</v>
      </c>
      <c r="I307" s="3" t="n">
        <v>105200</v>
      </c>
      <c r="J307">
        <f>IF(I307&gt;0,CEILING(I307*(1-Policy!$B$13/100),IF(I307&lt;10000,50,100)),"")</f>
        <v/>
      </c>
      <c r="K307">
        <f>IF(I307&gt;0,ROUNDUP(I307/Policy!$B$14*(1+Policy!$B$15/100),0),"")</f>
        <v/>
      </c>
      <c r="L307" t="n">
        <v>42</v>
      </c>
      <c r="M307" t="inlineStr">
        <is>
          <t>stroke 1000 mm, Fs 468750 N</t>
        </is>
      </c>
    </row>
    <row r="308">
      <c r="A308" t="inlineStr">
        <is>
          <t>AC2015</t>
        </is>
      </c>
      <c r="B308" t="inlineStr">
        <is>
          <t>AC-20-15</t>
        </is>
      </c>
      <c r="C308" t="inlineStr">
        <is>
          <t>AC</t>
        </is>
      </c>
      <c r="D308" t="inlineStr">
        <is>
          <t>file</t>
        </is>
      </c>
      <c r="E308" t="n">
        <v>2200</v>
      </c>
      <c r="F308" t="inlineStr">
        <is>
          <t>product_list:market</t>
        </is>
      </c>
      <c r="G308" t="n">
        <v>2698</v>
      </c>
      <c r="H308" t="n">
        <v>0</v>
      </c>
      <c r="I308" s="3" t="n">
        <v>2200</v>
      </c>
      <c r="J308">
        <f>IF(I308&gt;0,CEILING(I308*(1-Policy!$B$13/100),IF(I308&lt;10000,50,100)),"")</f>
        <v/>
      </c>
      <c r="K308">
        <f>IF(I308&gt;0,ROUNDUP(I308/Policy!$B$14*(1+Policy!$B$15/100),0),"")</f>
        <v/>
      </c>
      <c r="L308" t="n">
        <v>21</v>
      </c>
      <c r="M308" t="inlineStr">
        <is>
          <t>stroke 15 mm, Fs 1562 N</t>
        </is>
      </c>
    </row>
    <row r="309">
      <c r="A309" t="inlineStr">
        <is>
          <t>AD2015</t>
        </is>
      </c>
      <c r="B309" t="inlineStr">
        <is>
          <t>AD 20-15</t>
        </is>
      </c>
      <c r="C309" t="inlineStr">
        <is>
          <t>AD</t>
        </is>
      </c>
      <c r="D309" t="inlineStr">
        <is>
          <t>file</t>
        </is>
      </c>
      <c r="E309" t="n">
        <v>2900</v>
      </c>
      <c r="F309" t="inlineStr">
        <is>
          <t>product_list:market</t>
        </is>
      </c>
      <c r="G309" t="n">
        <v>3115</v>
      </c>
      <c r="H309" t="n">
        <v>0</v>
      </c>
      <c r="I309" s="3" t="n">
        <v>2900</v>
      </c>
      <c r="J309">
        <f>IF(I309&gt;0,CEILING(I309*(1-Policy!$B$13/100),IF(I309&lt;10000,50,100)),"")</f>
        <v/>
      </c>
      <c r="K309">
        <f>IF(I309&gt;0,ROUNDUP(I309/Policy!$B$14*(1+Policy!$B$15/100),0),"")</f>
        <v/>
      </c>
      <c r="L309" t="n">
        <v>28</v>
      </c>
      <c r="M309" t="inlineStr">
        <is>
          <t>stroke 15 mm, Fs 1562 N</t>
        </is>
      </c>
    </row>
    <row r="310">
      <c r="A310" t="inlineStr">
        <is>
          <t>AC2725</t>
        </is>
      </c>
      <c r="B310" t="inlineStr">
        <is>
          <t>AC-27-25</t>
        </is>
      </c>
      <c r="C310" t="inlineStr">
        <is>
          <t>AC</t>
        </is>
      </c>
      <c r="D310" t="inlineStr">
        <is>
          <t>file</t>
        </is>
      </c>
      <c r="E310" t="n">
        <v>4700</v>
      </c>
      <c r="F310" t="inlineStr">
        <is>
          <t>product_list:market</t>
        </is>
      </c>
      <c r="G310" t="n">
        <v>4700</v>
      </c>
      <c r="H310" t="n">
        <v>0</v>
      </c>
      <c r="I310" s="3" t="n">
        <v>4700</v>
      </c>
      <c r="J310">
        <f>IF(I310&gt;0,CEILING(I310*(1-Policy!$B$13/100),IF(I310&lt;10000,50,100)),"")</f>
        <v/>
      </c>
      <c r="K310">
        <f>IF(I310&gt;0,ROUNDUP(I310/Policy!$B$14*(1+Policy!$B$15/100),0),"")</f>
        <v/>
      </c>
      <c r="L310" t="n">
        <v>21</v>
      </c>
      <c r="M310" t="inlineStr">
        <is>
          <t>stroke 25 mm, Fs 4250 N</t>
        </is>
      </c>
    </row>
    <row r="311">
      <c r="A311" t="inlineStr">
        <is>
          <t>AD2725</t>
        </is>
      </c>
      <c r="B311" t="inlineStr">
        <is>
          <t>AD 27-25</t>
        </is>
      </c>
      <c r="C311" t="inlineStr">
        <is>
          <t>AD</t>
        </is>
      </c>
      <c r="D311" t="inlineStr">
        <is>
          <t>file</t>
        </is>
      </c>
      <c r="E311" t="n">
        <v>5200</v>
      </c>
      <c r="F311" t="inlineStr">
        <is>
          <t>product_list:market</t>
        </is>
      </c>
      <c r="G311" t="n">
        <v>5200</v>
      </c>
      <c r="H311" t="n">
        <v>0</v>
      </c>
      <c r="I311" s="3" t="n">
        <v>5200</v>
      </c>
      <c r="J311">
        <f>IF(I311&gt;0,CEILING(I311*(1-Policy!$B$13/100),IF(I311&lt;10000,50,100)),"")</f>
        <v/>
      </c>
      <c r="K311">
        <f>IF(I311&gt;0,ROUNDUP(I311/Policy!$B$14*(1+Policy!$B$15/100),0),"")</f>
        <v/>
      </c>
      <c r="L311" t="n">
        <v>28</v>
      </c>
      <c r="M311" t="inlineStr">
        <is>
          <t>stroke 25 mm, Fs 4250 N</t>
        </is>
      </c>
    </row>
    <row r="312">
      <c r="A312" t="inlineStr">
        <is>
          <t>AD4550</t>
        </is>
      </c>
      <c r="B312" t="inlineStr">
        <is>
          <t>AD 45-50</t>
        </is>
      </c>
      <c r="C312" t="inlineStr">
        <is>
          <t>AD</t>
        </is>
      </c>
      <c r="D312" t="inlineStr">
        <is>
          <t>file</t>
        </is>
      </c>
      <c r="E312" t="n">
        <v>22500</v>
      </c>
      <c r="F312" t="inlineStr">
        <is>
          <t>product_list:market</t>
        </is>
      </c>
      <c r="G312" t="n">
        <v>22500</v>
      </c>
      <c r="H312" t="n">
        <v>0</v>
      </c>
      <c r="I312" s="3" t="n">
        <v>22500</v>
      </c>
      <c r="J312">
        <f>IF(I312&gt;0,CEILING(I312*(1-Policy!$B$13/100),IF(I312&lt;10000,50,100)),"")</f>
        <v/>
      </c>
      <c r="K312">
        <f>IF(I312&gt;0,ROUNDUP(I312/Policy!$B$14*(1+Policy!$B$15/100),0),"")</f>
        <v/>
      </c>
      <c r="L312" t="n">
        <v>21</v>
      </c>
      <c r="M312" t="inlineStr">
        <is>
          <t>stroke 50 mm, Fs 18500 N</t>
        </is>
      </c>
    </row>
  </sheetData>
  <autoFilter ref="A1:M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8" customWidth="1" min="4" max="4"/>
    <col width="11" customWidth="1" min="5" max="5"/>
    <col width="26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8" customWidth="1" min="12" max="12"/>
    <col width="60" customWidth="1" min="13" max="13"/>
  </cols>
  <sheetData>
    <row r="1">
      <c r="A1" s="5" t="inlineStr">
        <is>
          <t>key</t>
        </is>
      </c>
      <c r="B1" s="5" t="inlineStr">
        <is>
          <t>model</t>
        </is>
      </c>
      <c r="C1" s="5" t="inlineStr">
        <is>
          <t>series</t>
        </is>
      </c>
      <c r="D1" s="5" t="inlineStr">
        <is>
          <t>basis</t>
        </is>
      </c>
      <c r="E1" s="5" t="inlineStr">
        <is>
          <t>file_price</t>
        </is>
      </c>
      <c r="F1" s="5" t="inlineStr">
        <is>
          <t>file_source</t>
        </is>
      </c>
      <c r="G1" s="5" t="inlineStr">
        <is>
          <t>estimate</t>
        </is>
      </c>
      <c r="H1" s="5" t="inlineStr">
        <is>
          <t>margin_pct</t>
        </is>
      </c>
      <c r="I1" s="5" t="inlineStr">
        <is>
          <t>list_inr</t>
        </is>
      </c>
      <c r="J1" s="5" t="inlineStr">
        <is>
          <t>dealer_inr</t>
        </is>
      </c>
      <c r="K1" s="5" t="inlineStr">
        <is>
          <t>usd_indicative</t>
        </is>
      </c>
      <c r="L1" s="5" t="inlineStr">
        <is>
          <t>lead_time_days</t>
        </is>
      </c>
      <c r="M1" s="5" t="inlineStr">
        <is>
          <t>note</t>
        </is>
      </c>
    </row>
    <row r="2">
      <c r="A2" t="inlineStr">
        <is>
          <t>AWRI-16-10</t>
        </is>
      </c>
      <c r="B2" t="inlineStr">
        <is>
          <t>AWRI-16-10</t>
        </is>
      </c>
      <c r="C2" t="inlineStr">
        <is>
          <t>AWRI-16</t>
        </is>
      </c>
      <c r="D2" t="inlineStr">
        <is>
          <t>file</t>
        </is>
      </c>
      <c r="E2" t="n">
        <v>1800</v>
      </c>
      <c r="F2" t="inlineStr">
        <is>
          <t>product list / AWRI selector</t>
        </is>
      </c>
      <c r="G2" t="n">
        <v>1479</v>
      </c>
      <c r="H2" t="n">
        <v>0</v>
      </c>
      <c r="I2" s="3" t="n">
        <v>1800</v>
      </c>
      <c r="J2">
        <f>IF(I2&gt;0,CEILING(I2*(1-Policy!$B$13/100),IF(I2&lt;10000,50,100)),"")</f>
        <v/>
      </c>
      <c r="K2">
        <f>IF(I2&gt;0,ROUNDUP(I2/Policy!$B$14*(1+Policy!$B$15/100),0),"")</f>
        <v/>
      </c>
      <c r="L2" t="n">
        <v>21</v>
      </c>
      <c r="M2" t="inlineStr">
        <is>
          <t>18x25 mm</t>
        </is>
      </c>
    </row>
    <row r="3">
      <c r="A3" t="inlineStr">
        <is>
          <t>AWRI-16-20</t>
        </is>
      </c>
      <c r="B3" t="inlineStr">
        <is>
          <t>AWRI-16-20</t>
        </is>
      </c>
      <c r="C3" t="inlineStr">
        <is>
          <t>AWRI-16</t>
        </is>
      </c>
      <c r="D3" t="inlineStr">
        <is>
          <t>file</t>
        </is>
      </c>
      <c r="E3" t="n">
        <v>1850</v>
      </c>
      <c r="F3" t="inlineStr">
        <is>
          <t>product list / AWRI selector</t>
        </is>
      </c>
      <c r="G3" t="n">
        <v>1530</v>
      </c>
      <c r="H3" t="n">
        <v>0</v>
      </c>
      <c r="I3" s="3" t="n">
        <v>1850</v>
      </c>
      <c r="J3">
        <f>IF(I3&gt;0,CEILING(I3*(1-Policy!$B$13/100),IF(I3&lt;10000,50,100)),"")</f>
        <v/>
      </c>
      <c r="K3">
        <f>IF(I3&gt;0,ROUNDUP(I3/Policy!$B$14*(1+Policy!$B$15/100),0),"")</f>
        <v/>
      </c>
      <c r="L3" t="n">
        <v>21</v>
      </c>
      <c r="M3" t="inlineStr">
        <is>
          <t>20x28 mm</t>
        </is>
      </c>
    </row>
    <row r="4">
      <c r="A4" t="inlineStr">
        <is>
          <t>AWRI-16-40</t>
        </is>
      </c>
      <c r="B4" t="inlineStr">
        <is>
          <t>AWRI-16-40</t>
        </is>
      </c>
      <c r="C4" t="inlineStr">
        <is>
          <t>AWRI-16</t>
        </is>
      </c>
      <c r="D4" t="inlineStr">
        <is>
          <t>file</t>
        </is>
      </c>
      <c r="E4" t="n">
        <v>2000</v>
      </c>
      <c r="F4" t="inlineStr">
        <is>
          <t>product list / AWRI selector</t>
        </is>
      </c>
      <c r="G4" t="n">
        <v>1602</v>
      </c>
      <c r="H4" t="n">
        <v>0</v>
      </c>
      <c r="I4" s="3" t="n">
        <v>2000</v>
      </c>
      <c r="J4">
        <f>IF(I4&gt;0,CEILING(I4*(1-Policy!$B$13/100),IF(I4&lt;10000,50,100)),"")</f>
        <v/>
      </c>
      <c r="K4">
        <f>IF(I4&gt;0,ROUNDUP(I4/Policy!$B$14*(1+Policy!$B$15/100),0),"")</f>
        <v/>
      </c>
      <c r="L4" t="n">
        <v>21</v>
      </c>
      <c r="M4" t="inlineStr">
        <is>
          <t>25x30 mm</t>
        </is>
      </c>
    </row>
    <row r="5">
      <c r="A5" t="inlineStr">
        <is>
          <t>AWRI-16-60</t>
        </is>
      </c>
      <c r="B5" t="inlineStr">
        <is>
          <t>AWRI-16-60</t>
        </is>
      </c>
      <c r="C5" t="inlineStr">
        <is>
          <t>AWRI-16</t>
        </is>
      </c>
      <c r="D5" t="inlineStr">
        <is>
          <t>file</t>
        </is>
      </c>
      <c r="E5" t="n">
        <v>2050</v>
      </c>
      <c r="F5" t="inlineStr">
        <is>
          <t>product list / AWRI selector</t>
        </is>
      </c>
      <c r="G5" t="n">
        <v>1655</v>
      </c>
      <c r="H5" t="n">
        <v>0</v>
      </c>
      <c r="I5" s="3" t="n">
        <v>2050</v>
      </c>
      <c r="J5">
        <f>IF(I5&gt;0,CEILING(I5*(1-Policy!$B$13/100),IF(I5&lt;10000,50,100)),"")</f>
        <v/>
      </c>
      <c r="K5">
        <f>IF(I5&gt;0,ROUNDUP(I5/Policy!$B$14*(1+Policy!$B$15/100),0),"")</f>
        <v/>
      </c>
      <c r="L5" t="n">
        <v>21</v>
      </c>
      <c r="M5" t="inlineStr">
        <is>
          <t>28x33 mm</t>
        </is>
      </c>
    </row>
    <row r="6">
      <c r="A6" t="inlineStr">
        <is>
          <t>AWRI-16-80</t>
        </is>
      </c>
      <c r="B6" t="inlineStr">
        <is>
          <t>AWRI-16-80</t>
        </is>
      </c>
      <c r="C6" t="inlineStr">
        <is>
          <t>AWRI-16</t>
        </is>
      </c>
      <c r="D6" t="inlineStr">
        <is>
          <t>file</t>
        </is>
      </c>
      <c r="E6" t="n">
        <v>2100</v>
      </c>
      <c r="F6" t="inlineStr">
        <is>
          <t>product list / AWRI selector</t>
        </is>
      </c>
      <c r="G6" t="n">
        <v>1696</v>
      </c>
      <c r="H6" t="n">
        <v>0</v>
      </c>
      <c r="I6" s="3" t="n">
        <v>2100</v>
      </c>
      <c r="J6">
        <f>IF(I6&gt;0,CEILING(I6*(1-Policy!$B$13/100),IF(I6&lt;10000,50,100)),"")</f>
        <v/>
      </c>
      <c r="K6">
        <f>IF(I6&gt;0,ROUNDUP(I6/Policy!$B$14*(1+Policy!$B$15/100),0),"")</f>
        <v/>
      </c>
      <c r="L6" t="n">
        <v>21</v>
      </c>
      <c r="M6" t="inlineStr">
        <is>
          <t>30x36 mm</t>
        </is>
      </c>
    </row>
    <row r="7">
      <c r="A7" t="inlineStr">
        <is>
          <t>AWRI-16-71</t>
        </is>
      </c>
      <c r="B7" t="inlineStr">
        <is>
          <t>AWRI-16-71</t>
        </is>
      </c>
      <c r="C7" t="inlineStr">
        <is>
          <t>AWRI-16</t>
        </is>
      </c>
      <c r="D7" t="inlineStr">
        <is>
          <t>file</t>
        </is>
      </c>
      <c r="E7" t="n">
        <v>2150</v>
      </c>
      <c r="F7" t="inlineStr">
        <is>
          <t>product list / AWRI selector</t>
        </is>
      </c>
      <c r="G7" t="n">
        <v>1736</v>
      </c>
      <c r="H7" t="n">
        <v>0</v>
      </c>
      <c r="I7" s="3" t="n">
        <v>2150</v>
      </c>
      <c r="J7">
        <f>IF(I7&gt;0,CEILING(I7*(1-Policy!$B$13/100),IF(I7&lt;10000,50,100)),"")</f>
        <v/>
      </c>
      <c r="K7">
        <f>IF(I7&gt;0,ROUNDUP(I7/Policy!$B$14*(1+Policy!$B$15/100),0),"")</f>
        <v/>
      </c>
      <c r="L7" t="n">
        <v>21</v>
      </c>
      <c r="M7" t="inlineStr">
        <is>
          <t>33x38 mm</t>
        </is>
      </c>
    </row>
    <row r="8">
      <c r="A8" t="inlineStr">
        <is>
          <t>AWRI-24-10</t>
        </is>
      </c>
      <c r="B8" t="inlineStr">
        <is>
          <t>AWRI-24-10</t>
        </is>
      </c>
      <c r="C8" t="inlineStr">
        <is>
          <t>AWRI-24</t>
        </is>
      </c>
      <c r="D8" t="inlineStr">
        <is>
          <t>file</t>
        </is>
      </c>
      <c r="E8" t="n">
        <v>2150</v>
      </c>
      <c r="F8" t="inlineStr">
        <is>
          <t>product list / AWRI selector</t>
        </is>
      </c>
      <c r="G8" t="n">
        <v>2186</v>
      </c>
      <c r="H8" t="n">
        <v>0</v>
      </c>
      <c r="I8" s="3" t="n">
        <v>2150</v>
      </c>
      <c r="J8">
        <f>IF(I8&gt;0,CEILING(I8*(1-Policy!$B$13/100),IF(I8&lt;10000,50,100)),"")</f>
        <v/>
      </c>
      <c r="K8">
        <f>IF(I8&gt;0,ROUNDUP(I8/Policy!$B$14*(1+Policy!$B$15/100),0),"")</f>
        <v/>
      </c>
      <c r="L8" t="n">
        <v>21</v>
      </c>
      <c r="M8" t="inlineStr">
        <is>
          <t>23x28 mm</t>
        </is>
      </c>
    </row>
    <row r="9">
      <c r="A9" t="inlineStr">
        <is>
          <t>AWRI-24-20</t>
        </is>
      </c>
      <c r="B9" t="inlineStr">
        <is>
          <t>AWRI-24-20</t>
        </is>
      </c>
      <c r="C9" t="inlineStr">
        <is>
          <t>AWRI-24</t>
        </is>
      </c>
      <c r="D9" t="inlineStr">
        <is>
          <t>file</t>
        </is>
      </c>
      <c r="E9" t="n">
        <v>2300</v>
      </c>
      <c r="F9" t="inlineStr">
        <is>
          <t>product list / AWRI selector</t>
        </is>
      </c>
      <c r="G9" t="n">
        <v>2239</v>
      </c>
      <c r="H9" t="n">
        <v>0</v>
      </c>
      <c r="I9" s="3" t="n">
        <v>2300</v>
      </c>
      <c r="J9">
        <f>IF(I9&gt;0,CEILING(I9*(1-Policy!$B$13/100),IF(I9&lt;10000,50,100)),"")</f>
        <v/>
      </c>
      <c r="K9">
        <f>IF(I9&gt;0,ROUNDUP(I9/Policy!$B$14*(1+Policy!$B$15/100),0),"")</f>
        <v/>
      </c>
      <c r="L9" t="n">
        <v>21</v>
      </c>
      <c r="M9" t="inlineStr">
        <is>
          <t>25x30 mm</t>
        </is>
      </c>
    </row>
    <row r="10">
      <c r="A10" t="inlineStr">
        <is>
          <t>AWRI-24-40</t>
        </is>
      </c>
      <c r="B10" t="inlineStr">
        <is>
          <t>AWRI-24-40</t>
        </is>
      </c>
      <c r="C10" t="inlineStr">
        <is>
          <t>AWRI-24</t>
        </is>
      </c>
      <c r="D10" t="inlineStr">
        <is>
          <t>file</t>
        </is>
      </c>
      <c r="E10" t="n">
        <v>2400</v>
      </c>
      <c r="F10" t="inlineStr">
        <is>
          <t>product list / AWRI selector</t>
        </is>
      </c>
      <c r="G10" t="n">
        <v>2313</v>
      </c>
      <c r="H10" t="n">
        <v>0</v>
      </c>
      <c r="I10" s="3" t="n">
        <v>2400</v>
      </c>
      <c r="J10">
        <f>IF(I10&gt;0,CEILING(I10*(1-Policy!$B$13/100),IF(I10&lt;10000,50,100)),"")</f>
        <v/>
      </c>
      <c r="K10">
        <f>IF(I10&gt;0,ROUNDUP(I10/Policy!$B$14*(1+Policy!$B$15/100),0),"")</f>
        <v/>
      </c>
      <c r="L10" t="n">
        <v>21</v>
      </c>
      <c r="M10" t="inlineStr">
        <is>
          <t>28x33 mm</t>
        </is>
      </c>
    </row>
    <row r="11">
      <c r="A11" t="inlineStr">
        <is>
          <t>AWRI-24-60</t>
        </is>
      </c>
      <c r="B11" t="inlineStr">
        <is>
          <t>AWRI-24-60</t>
        </is>
      </c>
      <c r="C11" t="inlineStr">
        <is>
          <t>AWRI-24</t>
        </is>
      </c>
      <c r="D11" t="inlineStr">
        <is>
          <t>file</t>
        </is>
      </c>
      <c r="E11" t="n">
        <v>2500</v>
      </c>
      <c r="F11" t="inlineStr">
        <is>
          <t>product list / AWRI selector</t>
        </is>
      </c>
      <c r="G11" t="n">
        <v>2426</v>
      </c>
      <c r="H11" t="n">
        <v>0</v>
      </c>
      <c r="I11" s="3" t="n">
        <v>2500</v>
      </c>
      <c r="J11">
        <f>IF(I11&gt;0,CEILING(I11*(1-Policy!$B$13/100),IF(I11&lt;10000,50,100)),"")</f>
        <v/>
      </c>
      <c r="K11">
        <f>IF(I11&gt;0,ROUNDUP(I11/Policy!$B$14*(1+Policy!$B$15/100),0),"")</f>
        <v/>
      </c>
      <c r="L11" t="n">
        <v>21</v>
      </c>
      <c r="M11" t="inlineStr">
        <is>
          <t>33x38 mm</t>
        </is>
      </c>
    </row>
    <row r="12">
      <c r="A12" t="inlineStr">
        <is>
          <t>AWRI-24-70</t>
        </is>
      </c>
      <c r="B12" t="inlineStr">
        <is>
          <t>AWRI-24-70</t>
        </is>
      </c>
      <c r="C12" t="inlineStr">
        <is>
          <t>AWRI-24</t>
        </is>
      </c>
      <c r="D12" t="inlineStr">
        <is>
          <t>file</t>
        </is>
      </c>
      <c r="E12" t="n">
        <v>2650</v>
      </c>
      <c r="F12" t="inlineStr">
        <is>
          <t>product list / AWRI selector</t>
        </is>
      </c>
      <c r="G12" t="n">
        <v>2489</v>
      </c>
      <c r="H12" t="n">
        <v>0</v>
      </c>
      <c r="I12" s="3" t="n">
        <v>2650</v>
      </c>
      <c r="J12">
        <f>IF(I12&gt;0,CEILING(I12*(1-Policy!$B$13/100),IF(I12&lt;10000,50,100)),"")</f>
        <v/>
      </c>
      <c r="K12">
        <f>IF(I12&gt;0,ROUNDUP(I12/Policy!$B$14*(1+Policy!$B$15/100),0),"")</f>
        <v/>
      </c>
      <c r="L12" t="n">
        <v>21</v>
      </c>
      <c r="M12" t="inlineStr">
        <is>
          <t>36x41 mm</t>
        </is>
      </c>
    </row>
    <row r="13">
      <c r="A13" t="inlineStr">
        <is>
          <t>AWRI-24-80</t>
        </is>
      </c>
      <c r="B13" t="inlineStr">
        <is>
          <t>AWRI-24-80</t>
        </is>
      </c>
      <c r="C13" t="inlineStr">
        <is>
          <t>AWRI-24</t>
        </is>
      </c>
      <c r="D13" t="inlineStr">
        <is>
          <t>file</t>
        </is>
      </c>
      <c r="E13" t="n">
        <v>2750</v>
      </c>
      <c r="F13" t="inlineStr">
        <is>
          <t>product list / AWRI selector</t>
        </is>
      </c>
      <c r="G13" t="n">
        <v>2529</v>
      </c>
      <c r="H13" t="n">
        <v>0</v>
      </c>
      <c r="I13" s="3" t="n">
        <v>2750</v>
      </c>
      <c r="J13">
        <f>IF(I13&gt;0,CEILING(I13*(1-Policy!$B$13/100),IF(I13&lt;10000,50,100)),"")</f>
        <v/>
      </c>
      <c r="K13">
        <f>IF(I13&gt;0,ROUNDUP(I13/Policy!$B$14*(1+Policy!$B$15/100),0),"")</f>
        <v/>
      </c>
      <c r="L13" t="n">
        <v>21</v>
      </c>
      <c r="M13" t="inlineStr">
        <is>
          <t>38x43 mm</t>
        </is>
      </c>
    </row>
    <row r="14">
      <c r="A14" t="inlineStr">
        <is>
          <t>AWRI-32-10</t>
        </is>
      </c>
      <c r="B14" t="inlineStr">
        <is>
          <t>AWRI-32-10</t>
        </is>
      </c>
      <c r="C14" t="inlineStr">
        <is>
          <t>AWRI-32</t>
        </is>
      </c>
      <c r="D14" t="inlineStr">
        <is>
          <t>file</t>
        </is>
      </c>
      <c r="E14" t="n">
        <v>2900</v>
      </c>
      <c r="F14" t="inlineStr">
        <is>
          <t>product list / AWRI selector</t>
        </is>
      </c>
      <c r="G14" t="n">
        <v>2973</v>
      </c>
      <c r="H14" t="n">
        <v>0</v>
      </c>
      <c r="I14" s="3" t="n">
        <v>2900</v>
      </c>
      <c r="J14">
        <f>IF(I14&gt;0,CEILING(I14*(1-Policy!$B$13/100),IF(I14&lt;10000,50,100)),"")</f>
        <v/>
      </c>
      <c r="K14">
        <f>IF(I14&gt;0,ROUNDUP(I14/Policy!$B$14*(1+Policy!$B$15/100),0),"")</f>
        <v/>
      </c>
      <c r="L14" t="n">
        <v>21</v>
      </c>
      <c r="M14" t="inlineStr">
        <is>
          <t>28x36 mm</t>
        </is>
      </c>
    </row>
    <row r="15">
      <c r="A15" t="inlineStr">
        <is>
          <t>AWRI-32-20</t>
        </is>
      </c>
      <c r="B15" t="inlineStr">
        <is>
          <t>AWRI-32-20</t>
        </is>
      </c>
      <c r="C15" t="inlineStr">
        <is>
          <t>AWRI-32</t>
        </is>
      </c>
      <c r="D15" t="inlineStr">
        <is>
          <t>file</t>
        </is>
      </c>
      <c r="E15" t="n">
        <v>3000</v>
      </c>
      <c r="F15" t="inlineStr">
        <is>
          <t>product list / AWRI selector</t>
        </is>
      </c>
      <c r="G15" t="n">
        <v>3031</v>
      </c>
      <c r="H15" t="n">
        <v>0</v>
      </c>
      <c r="I15" s="3" t="n">
        <v>3000</v>
      </c>
      <c r="J15">
        <f>IF(I15&gt;0,CEILING(I15*(1-Policy!$B$13/100),IF(I15&lt;10000,50,100)),"")</f>
        <v/>
      </c>
      <c r="K15">
        <f>IF(I15&gt;0,ROUNDUP(I15/Policy!$B$14*(1+Policy!$B$15/100),0),"")</f>
        <v/>
      </c>
      <c r="L15" t="n">
        <v>21</v>
      </c>
      <c r="M15" t="inlineStr">
        <is>
          <t>30x38 mm</t>
        </is>
      </c>
    </row>
    <row r="16">
      <c r="A16" t="inlineStr">
        <is>
          <t>AWRI-32-40</t>
        </is>
      </c>
      <c r="B16" t="inlineStr">
        <is>
          <t>AWRI-32-40</t>
        </is>
      </c>
      <c r="C16" t="inlineStr">
        <is>
          <t>AWRI-32</t>
        </is>
      </c>
      <c r="D16" t="inlineStr">
        <is>
          <t>file</t>
        </is>
      </c>
      <c r="E16" t="n">
        <v>3100</v>
      </c>
      <c r="F16" t="inlineStr">
        <is>
          <t>product list / AWRI selector</t>
        </is>
      </c>
      <c r="G16" t="n">
        <v>3114</v>
      </c>
      <c r="H16" t="n">
        <v>0</v>
      </c>
      <c r="I16" s="3" t="n">
        <v>3100</v>
      </c>
      <c r="J16">
        <f>IF(I16&gt;0,CEILING(I16*(1-Policy!$B$13/100),IF(I16&lt;10000,50,100)),"")</f>
        <v/>
      </c>
      <c r="K16">
        <f>IF(I16&gt;0,ROUNDUP(I16/Policy!$B$14*(1+Policy!$B$15/100),0),"")</f>
        <v/>
      </c>
      <c r="L16" t="n">
        <v>21</v>
      </c>
      <c r="M16" t="inlineStr">
        <is>
          <t>33x41 mm</t>
        </is>
      </c>
    </row>
    <row r="17">
      <c r="A17" t="inlineStr">
        <is>
          <t>AWRI-32-50</t>
        </is>
      </c>
      <c r="B17" t="inlineStr">
        <is>
          <t>AWRI-32-50</t>
        </is>
      </c>
      <c r="C17" t="inlineStr">
        <is>
          <t>AWRI-32</t>
        </is>
      </c>
      <c r="D17" t="inlineStr">
        <is>
          <t>file</t>
        </is>
      </c>
      <c r="E17" t="n">
        <v>3250</v>
      </c>
      <c r="F17" t="inlineStr">
        <is>
          <t>product list / AWRI selector</t>
        </is>
      </c>
      <c r="G17" t="n">
        <v>3180</v>
      </c>
      <c r="H17" t="n">
        <v>0</v>
      </c>
      <c r="I17" s="3" t="n">
        <v>3250</v>
      </c>
      <c r="J17">
        <f>IF(I17&gt;0,CEILING(I17*(1-Policy!$B$13/100),IF(I17&lt;10000,50,100)),"")</f>
        <v/>
      </c>
      <c r="K17">
        <f>IF(I17&gt;0,ROUNDUP(I17/Policy!$B$14*(1+Policy!$B$15/100),0),"")</f>
        <v/>
      </c>
      <c r="L17" t="n">
        <v>21</v>
      </c>
      <c r="M17" t="inlineStr">
        <is>
          <t>36x43 mm</t>
        </is>
      </c>
    </row>
    <row r="18">
      <c r="A18" t="inlineStr">
        <is>
          <t>AWRI-32-60</t>
        </is>
      </c>
      <c r="B18" t="inlineStr">
        <is>
          <t>AWRI-32-60</t>
        </is>
      </c>
      <c r="C18" t="inlineStr">
        <is>
          <t>AWRI-32</t>
        </is>
      </c>
      <c r="D18" t="inlineStr">
        <is>
          <t>file</t>
        </is>
      </c>
      <c r="E18" t="n">
        <v>3350</v>
      </c>
      <c r="F18" t="inlineStr">
        <is>
          <t>product list / AWRI selector</t>
        </is>
      </c>
      <c r="G18" t="n">
        <v>3241</v>
      </c>
      <c r="H18" t="n">
        <v>0</v>
      </c>
      <c r="I18" s="3" t="n">
        <v>3350</v>
      </c>
      <c r="J18">
        <f>IF(I18&gt;0,CEILING(I18*(1-Policy!$B$13/100),IF(I18&lt;10000,50,100)),"")</f>
        <v/>
      </c>
      <c r="K18">
        <f>IF(I18&gt;0,ROUNDUP(I18/Policy!$B$14*(1+Policy!$B$15/100),0),"")</f>
        <v/>
      </c>
      <c r="L18" t="n">
        <v>21</v>
      </c>
      <c r="M18" t="inlineStr">
        <is>
          <t>38x46 mm</t>
        </is>
      </c>
    </row>
    <row r="19">
      <c r="A19" t="inlineStr">
        <is>
          <t>AWRI-32-70</t>
        </is>
      </c>
      <c r="B19" t="inlineStr">
        <is>
          <t>AWRI-32-70</t>
        </is>
      </c>
      <c r="C19" t="inlineStr">
        <is>
          <t>AWRI-32</t>
        </is>
      </c>
      <c r="D19" t="inlineStr">
        <is>
          <t>file</t>
        </is>
      </c>
      <c r="E19" t="n">
        <v>3500</v>
      </c>
      <c r="F19" t="inlineStr">
        <is>
          <t>product list / AWRI selector</t>
        </is>
      </c>
      <c r="G19" t="n">
        <v>3302</v>
      </c>
      <c r="H19" t="n">
        <v>0</v>
      </c>
      <c r="I19" s="3" t="n">
        <v>3500</v>
      </c>
      <c r="J19">
        <f>IF(I19&gt;0,CEILING(I19*(1-Policy!$B$13/100),IF(I19&lt;10000,50,100)),"")</f>
        <v/>
      </c>
      <c r="K19">
        <f>IF(I19&gt;0,ROUNDUP(I19/Policy!$B$14*(1+Policy!$B$15/100),0),"")</f>
        <v/>
      </c>
      <c r="L19" t="n">
        <v>21</v>
      </c>
      <c r="M19" t="inlineStr">
        <is>
          <t>41x48 mm</t>
        </is>
      </c>
    </row>
    <row r="20">
      <c r="A20" t="inlineStr">
        <is>
          <t>AWRI-32-80</t>
        </is>
      </c>
      <c r="B20" t="inlineStr">
        <is>
          <t>AWRI-32-80</t>
        </is>
      </c>
      <c r="C20" t="inlineStr">
        <is>
          <t>AWRI-32</t>
        </is>
      </c>
      <c r="D20" t="inlineStr">
        <is>
          <t>file</t>
        </is>
      </c>
      <c r="E20" t="n">
        <v>3600</v>
      </c>
      <c r="F20" t="inlineStr">
        <is>
          <t>product list / AWRI selector</t>
        </is>
      </c>
      <c r="G20" t="n">
        <v>3358</v>
      </c>
      <c r="H20" t="n">
        <v>0</v>
      </c>
      <c r="I20" s="3" t="n">
        <v>3600</v>
      </c>
      <c r="J20">
        <f>IF(I20&gt;0,CEILING(I20*(1-Policy!$B$13/100),IF(I20&lt;10000,50,100)),"")</f>
        <v/>
      </c>
      <c r="K20">
        <f>IF(I20&gt;0,ROUNDUP(I20/Policy!$B$14*(1+Policy!$B$15/100),0),"")</f>
        <v/>
      </c>
      <c r="L20" t="n">
        <v>21</v>
      </c>
      <c r="M20" t="inlineStr">
        <is>
          <t>43x51 mm</t>
        </is>
      </c>
    </row>
    <row r="21">
      <c r="A21" t="inlineStr">
        <is>
          <t>AWRI-40-20</t>
        </is>
      </c>
      <c r="B21" t="inlineStr">
        <is>
          <t>AWRI-40-20</t>
        </is>
      </c>
      <c r="C21" t="inlineStr">
        <is>
          <t>AWRI-40</t>
        </is>
      </c>
      <c r="D21" t="inlineStr">
        <is>
          <t>file</t>
        </is>
      </c>
      <c r="E21" t="n">
        <v>3700</v>
      </c>
      <c r="F21" t="inlineStr">
        <is>
          <t>product list / AWRI selector</t>
        </is>
      </c>
      <c r="G21" t="n">
        <v>3688</v>
      </c>
      <c r="H21" t="n">
        <v>0</v>
      </c>
      <c r="I21" s="3" t="n">
        <v>3700</v>
      </c>
      <c r="J21">
        <f>IF(I21&gt;0,CEILING(I21*(1-Policy!$B$13/100),IF(I21&lt;10000,50,100)),"")</f>
        <v/>
      </c>
      <c r="K21">
        <f>IF(I21&gt;0,ROUNDUP(I21/Policy!$B$14*(1+Policy!$B$15/100),0),"")</f>
        <v/>
      </c>
      <c r="L21" t="n">
        <v>21</v>
      </c>
      <c r="M21" t="inlineStr">
        <is>
          <t>30x41 mm</t>
        </is>
      </c>
    </row>
    <row r="22">
      <c r="A22" t="inlineStr">
        <is>
          <t>AWRI-40-40</t>
        </is>
      </c>
      <c r="B22" t="inlineStr">
        <is>
          <t>AWRI-40-40</t>
        </is>
      </c>
      <c r="C22" t="inlineStr">
        <is>
          <t>AWRI-40</t>
        </is>
      </c>
      <c r="D22" t="inlineStr">
        <is>
          <t>file</t>
        </is>
      </c>
      <c r="E22" t="n">
        <v>3850</v>
      </c>
      <c r="F22" t="inlineStr">
        <is>
          <t>product list / AWRI selector</t>
        </is>
      </c>
      <c r="G22" t="n">
        <v>3771</v>
      </c>
      <c r="H22" t="n">
        <v>0</v>
      </c>
      <c r="I22" s="3" t="n">
        <v>3850</v>
      </c>
      <c r="J22">
        <f>IF(I22&gt;0,CEILING(I22*(1-Policy!$B$13/100),IF(I22&lt;10000,50,100)),"")</f>
        <v/>
      </c>
      <c r="K22">
        <f>IF(I22&gt;0,ROUNDUP(I22/Policy!$B$14*(1+Policy!$B$15/100),0),"")</f>
        <v/>
      </c>
      <c r="L22" t="n">
        <v>21</v>
      </c>
      <c r="M22" t="inlineStr">
        <is>
          <t>33x43 mm</t>
        </is>
      </c>
    </row>
    <row r="23">
      <c r="A23" t="inlineStr">
        <is>
          <t>AWRI-40-60</t>
        </is>
      </c>
      <c r="B23" t="inlineStr">
        <is>
          <t>AWRI-40-60</t>
        </is>
      </c>
      <c r="C23" t="inlineStr">
        <is>
          <t>AWRI-40</t>
        </is>
      </c>
      <c r="D23" t="inlineStr">
        <is>
          <t>file</t>
        </is>
      </c>
      <c r="E23" t="n">
        <v>3950</v>
      </c>
      <c r="F23" t="inlineStr">
        <is>
          <t>product list / AWRI selector</t>
        </is>
      </c>
      <c r="G23" t="n">
        <v>3923</v>
      </c>
      <c r="H23" t="n">
        <v>0</v>
      </c>
      <c r="I23" s="3" t="n">
        <v>3950</v>
      </c>
      <c r="J23">
        <f>IF(I23&gt;0,CEILING(I23*(1-Policy!$B$13/100),IF(I23&lt;10000,50,100)),"")</f>
        <v/>
      </c>
      <c r="K23">
        <f>IF(I23&gt;0,ROUNDUP(I23/Policy!$B$14*(1+Policy!$B$15/100),0),"")</f>
        <v/>
      </c>
      <c r="L23" t="n">
        <v>21</v>
      </c>
      <c r="M23" t="inlineStr">
        <is>
          <t>38x48 mm</t>
        </is>
      </c>
    </row>
    <row r="24">
      <c r="A24" t="inlineStr">
        <is>
          <t>AWRI-40-80</t>
        </is>
      </c>
      <c r="B24" t="inlineStr">
        <is>
          <t>AWRI-40-80</t>
        </is>
      </c>
      <c r="C24" t="inlineStr">
        <is>
          <t>AWRI-40</t>
        </is>
      </c>
      <c r="D24" t="inlineStr">
        <is>
          <t>file</t>
        </is>
      </c>
      <c r="E24" t="n">
        <v>4100</v>
      </c>
      <c r="F24" t="inlineStr">
        <is>
          <t>product list / AWRI selector</t>
        </is>
      </c>
      <c r="G24" t="n">
        <v>4105</v>
      </c>
      <c r="H24" t="n">
        <v>0</v>
      </c>
      <c r="I24" s="3" t="n">
        <v>4100</v>
      </c>
      <c r="J24">
        <f>IF(I24&gt;0,CEILING(I24*(1-Policy!$B$13/100),IF(I24&lt;10000,50,100)),"")</f>
        <v/>
      </c>
      <c r="K24">
        <f>IF(I24&gt;0,ROUNDUP(I24/Policy!$B$14*(1+Policy!$B$15/100),0),"")</f>
        <v/>
      </c>
      <c r="L24" t="n">
        <v>21</v>
      </c>
      <c r="M24" t="inlineStr">
        <is>
          <t>46x53 mm</t>
        </is>
      </c>
    </row>
    <row r="25">
      <c r="A25" t="inlineStr">
        <is>
          <t>AWRI-40-90</t>
        </is>
      </c>
      <c r="B25" t="inlineStr">
        <is>
          <t>AWRI-40-90</t>
        </is>
      </c>
      <c r="C25" t="inlineStr">
        <is>
          <t>AWRI-40</t>
        </is>
      </c>
      <c r="D25" t="inlineStr">
        <is>
          <t>file</t>
        </is>
      </c>
      <c r="E25" t="n">
        <v>4200</v>
      </c>
      <c r="F25" t="inlineStr">
        <is>
          <t>product list / AWRI selector</t>
        </is>
      </c>
      <c r="G25" t="n">
        <v>4323</v>
      </c>
      <c r="H25" t="n">
        <v>0</v>
      </c>
      <c r="I25" s="3" t="n">
        <v>4200</v>
      </c>
      <c r="J25">
        <f>IF(I25&gt;0,CEILING(I25*(1-Policy!$B$13/100),IF(I25&lt;10000,50,100)),"")</f>
        <v/>
      </c>
      <c r="K25">
        <f>IF(I25&gt;0,ROUNDUP(I25/Policy!$B$14*(1+Policy!$B$15/100),0),"")</f>
        <v/>
      </c>
      <c r="L25" t="n">
        <v>21</v>
      </c>
      <c r="M25" t="inlineStr">
        <is>
          <t>53x64 mm</t>
        </is>
      </c>
    </row>
    <row r="26">
      <c r="A26" t="inlineStr">
        <is>
          <t>AWRI-48-20</t>
        </is>
      </c>
      <c r="B26" t="inlineStr">
        <is>
          <t>AWRI-48-20</t>
        </is>
      </c>
      <c r="C26" t="inlineStr">
        <is>
          <t>AWRI-48</t>
        </is>
      </c>
      <c r="D26" t="inlineStr">
        <is>
          <t>file</t>
        </is>
      </c>
      <c r="E26" t="n">
        <v>3600</v>
      </c>
      <c r="F26" t="inlineStr">
        <is>
          <t>product list / AWRI selector</t>
        </is>
      </c>
      <c r="G26" t="n">
        <v>4200</v>
      </c>
      <c r="H26" t="n">
        <v>0</v>
      </c>
      <c r="I26" s="3" t="n">
        <v>3600</v>
      </c>
      <c r="J26">
        <f>IF(I26&gt;0,CEILING(I26*(1-Policy!$B$13/100),IF(I26&lt;10000,50,100)),"")</f>
        <v/>
      </c>
      <c r="K26">
        <f>IF(I26&gt;0,ROUNDUP(I26/Policy!$B$14*(1+Policy!$B$15/100),0),"")</f>
        <v/>
      </c>
      <c r="L26" t="n">
        <v>21</v>
      </c>
      <c r="M26" t="inlineStr">
        <is>
          <t>30x36 mm</t>
        </is>
      </c>
    </row>
    <row r="27">
      <c r="A27" t="inlineStr">
        <is>
          <t>AWRI-48-30</t>
        </is>
      </c>
      <c r="B27" t="inlineStr">
        <is>
          <t>AWRI-48-30</t>
        </is>
      </c>
      <c r="C27" t="inlineStr">
        <is>
          <t>AWRI-48</t>
        </is>
      </c>
      <c r="D27" t="inlineStr">
        <is>
          <t>file</t>
        </is>
      </c>
      <c r="E27" t="n">
        <v>3700</v>
      </c>
      <c r="F27" t="inlineStr">
        <is>
          <t>product list / AWRI selector</t>
        </is>
      </c>
      <c r="G27" t="n">
        <v>4300</v>
      </c>
      <c r="H27" t="n">
        <v>0</v>
      </c>
      <c r="I27" s="3" t="n">
        <v>3700</v>
      </c>
      <c r="J27">
        <f>IF(I27&gt;0,CEILING(I27*(1-Policy!$B$13/100),IF(I27&lt;10000,50,100)),"")</f>
        <v/>
      </c>
      <c r="K27">
        <f>IF(I27&gt;0,ROUNDUP(I27/Policy!$B$14*(1+Policy!$B$15/100),0),"")</f>
        <v/>
      </c>
      <c r="L27" t="n">
        <v>21</v>
      </c>
      <c r="M27" t="inlineStr">
        <is>
          <t>33x38 mm</t>
        </is>
      </c>
    </row>
    <row r="28">
      <c r="A28" t="inlineStr">
        <is>
          <t>AWRI-48-40</t>
        </is>
      </c>
      <c r="B28" t="inlineStr">
        <is>
          <t>AWRI-48-40</t>
        </is>
      </c>
      <c r="C28" t="inlineStr">
        <is>
          <t>AWRI-48</t>
        </is>
      </c>
      <c r="D28" t="inlineStr">
        <is>
          <t>file</t>
        </is>
      </c>
      <c r="E28" t="n">
        <v>5400</v>
      </c>
      <c r="F28" t="inlineStr">
        <is>
          <t>product list / AWRI selector</t>
        </is>
      </c>
      <c r="G28" t="n">
        <v>4411</v>
      </c>
      <c r="H28" t="n">
        <v>0</v>
      </c>
      <c r="I28" s="3" t="n">
        <v>5400</v>
      </c>
      <c r="J28">
        <f>IF(I28&gt;0,CEILING(I28*(1-Policy!$B$13/100),IF(I28&lt;10000,50,100)),"")</f>
        <v/>
      </c>
      <c r="K28">
        <f>IF(I28&gt;0,ROUNDUP(I28/Policy!$B$14*(1+Policy!$B$15/100),0),"")</f>
        <v/>
      </c>
      <c r="L28" t="n">
        <v>21</v>
      </c>
      <c r="M28" t="inlineStr">
        <is>
          <t>36x41 mm</t>
        </is>
      </c>
    </row>
    <row r="29">
      <c r="A29" t="inlineStr">
        <is>
          <t>AWRI-48-50</t>
        </is>
      </c>
      <c r="B29" t="inlineStr">
        <is>
          <t>AWRI-48-50</t>
        </is>
      </c>
      <c r="C29" t="inlineStr">
        <is>
          <t>AWRI-48</t>
        </is>
      </c>
      <c r="D29" t="inlineStr">
        <is>
          <t>file</t>
        </is>
      </c>
      <c r="E29" t="n">
        <v>3900</v>
      </c>
      <c r="F29" t="inlineStr">
        <is>
          <t>product list / AWRI selector</t>
        </is>
      </c>
      <c r="G29" t="n">
        <v>4482</v>
      </c>
      <c r="H29" t="n">
        <v>0</v>
      </c>
      <c r="I29" s="3" t="n">
        <v>3900</v>
      </c>
      <c r="J29">
        <f>IF(I29&gt;0,CEILING(I29*(1-Policy!$B$13/100),IF(I29&lt;10000,50,100)),"")</f>
        <v/>
      </c>
      <c r="K29">
        <f>IF(I29&gt;0,ROUNDUP(I29/Policy!$B$14*(1+Policy!$B$15/100),0),"")</f>
        <v/>
      </c>
      <c r="L29" t="n">
        <v>21</v>
      </c>
      <c r="M29" t="inlineStr">
        <is>
          <t>38x43 mm</t>
        </is>
      </c>
    </row>
    <row r="30">
      <c r="A30" t="inlineStr">
        <is>
          <t>AWRI-48-60</t>
        </is>
      </c>
      <c r="B30" t="inlineStr">
        <is>
          <t>AWRI-48-60</t>
        </is>
      </c>
      <c r="C30" t="inlineStr">
        <is>
          <t>AWRI-48</t>
        </is>
      </c>
      <c r="D30" t="inlineStr">
        <is>
          <t>file</t>
        </is>
      </c>
      <c r="E30" t="n">
        <v>4000</v>
      </c>
      <c r="F30" t="inlineStr">
        <is>
          <t>product list / AWRI selector</t>
        </is>
      </c>
      <c r="G30" t="n">
        <v>4584</v>
      </c>
      <c r="H30" t="n">
        <v>0</v>
      </c>
      <c r="I30" s="3" t="n">
        <v>4000</v>
      </c>
      <c r="J30">
        <f>IF(I30&gt;0,CEILING(I30*(1-Policy!$B$13/100),IF(I30&lt;10000,50,100)),"")</f>
        <v/>
      </c>
      <c r="K30">
        <f>IF(I30&gt;0,ROUNDUP(I30/Policy!$B$14*(1+Policy!$B$15/100),0),"")</f>
        <v/>
      </c>
      <c r="L30" t="n">
        <v>21</v>
      </c>
      <c r="M30" t="inlineStr">
        <is>
          <t>41x46 mm</t>
        </is>
      </c>
    </row>
    <row r="31">
      <c r="A31" t="inlineStr">
        <is>
          <t>AWRI-48-70</t>
        </is>
      </c>
      <c r="B31" t="inlineStr">
        <is>
          <t>AWRI-48-70</t>
        </is>
      </c>
      <c r="C31" t="inlineStr">
        <is>
          <t>AWRI-48</t>
        </is>
      </c>
      <c r="D31" t="inlineStr">
        <is>
          <t>file</t>
        </is>
      </c>
      <c r="E31" t="n">
        <v>4100</v>
      </c>
      <c r="F31" t="inlineStr">
        <is>
          <t>product list / AWRI selector</t>
        </is>
      </c>
      <c r="G31" t="n">
        <v>4649</v>
      </c>
      <c r="H31" t="n">
        <v>0</v>
      </c>
      <c r="I31" s="3" t="n">
        <v>4100</v>
      </c>
      <c r="J31">
        <f>IF(I31&gt;0,CEILING(I31*(1-Policy!$B$13/100),IF(I31&lt;10000,50,100)),"")</f>
        <v/>
      </c>
      <c r="K31">
        <f>IF(I31&gt;0,ROUNDUP(I31/Policy!$B$14*(1+Policy!$B$15/100),0),"")</f>
        <v/>
      </c>
      <c r="L31" t="n">
        <v>21</v>
      </c>
      <c r="M31" t="inlineStr">
        <is>
          <t>43x48 mm</t>
        </is>
      </c>
    </row>
    <row r="32">
      <c r="A32" t="inlineStr">
        <is>
          <t>AWRI-48-80</t>
        </is>
      </c>
      <c r="B32" t="inlineStr">
        <is>
          <t>AWRI-48-80</t>
        </is>
      </c>
      <c r="C32" t="inlineStr">
        <is>
          <t>AWRI-48</t>
        </is>
      </c>
      <c r="D32" t="inlineStr">
        <is>
          <t>file</t>
        </is>
      </c>
      <c r="E32" t="n">
        <v>4200</v>
      </c>
      <c r="F32" t="inlineStr">
        <is>
          <t>product list / AWRI selector</t>
        </is>
      </c>
      <c r="G32" t="n">
        <v>4918</v>
      </c>
      <c r="H32" t="n">
        <v>0</v>
      </c>
      <c r="I32" s="3" t="n">
        <v>4200</v>
      </c>
      <c r="J32">
        <f>IF(I32&gt;0,CEILING(I32*(1-Policy!$B$13/100),IF(I32&lt;10000,50,100)),"")</f>
        <v/>
      </c>
      <c r="K32">
        <f>IF(I32&gt;0,ROUNDUP(I32/Policy!$B$14*(1+Policy!$B$15/100),0),"")</f>
        <v/>
      </c>
      <c r="L32" t="n">
        <v>21</v>
      </c>
      <c r="M32" t="inlineStr">
        <is>
          <t>51x58 mm</t>
        </is>
      </c>
    </row>
    <row r="33">
      <c r="A33" t="inlineStr">
        <is>
          <t>AWRI-48-85</t>
        </is>
      </c>
      <c r="B33" t="inlineStr">
        <is>
          <t>AWRI-48-85</t>
        </is>
      </c>
      <c r="C33" t="inlineStr">
        <is>
          <t>AWRI-48</t>
        </is>
      </c>
      <c r="D33" t="inlineStr">
        <is>
          <t>file</t>
        </is>
      </c>
      <c r="E33" t="n">
        <v>4300</v>
      </c>
      <c r="F33" t="inlineStr">
        <is>
          <t>product list / AWRI selector</t>
        </is>
      </c>
      <c r="G33" t="n">
        <v>5166</v>
      </c>
      <c r="H33" t="n">
        <v>0</v>
      </c>
      <c r="I33" s="3" t="n">
        <v>4300</v>
      </c>
      <c r="J33">
        <f>IF(I33&gt;0,CEILING(I33*(1-Policy!$B$13/100),IF(I33&lt;10000,50,100)),"")</f>
        <v/>
      </c>
      <c r="K33">
        <f>IF(I33&gt;0,ROUNDUP(I33/Policy!$B$14*(1+Policy!$B$15/100),0),"")</f>
        <v/>
      </c>
      <c r="L33" t="n">
        <v>21</v>
      </c>
      <c r="M33" t="inlineStr">
        <is>
          <t>54x75 mm</t>
        </is>
      </c>
    </row>
    <row r="34">
      <c r="A34" t="inlineStr">
        <is>
          <t>AWRI-48-90</t>
        </is>
      </c>
      <c r="B34" t="inlineStr">
        <is>
          <t>AWRI-48-90</t>
        </is>
      </c>
      <c r="C34" t="inlineStr">
        <is>
          <t>AWRI-48</t>
        </is>
      </c>
      <c r="D34" t="inlineStr">
        <is>
          <t>file</t>
        </is>
      </c>
      <c r="E34" t="n">
        <v>4400</v>
      </c>
      <c r="F34" t="inlineStr">
        <is>
          <t>product list / AWRI selector</t>
        </is>
      </c>
      <c r="G34" t="n">
        <v>5413</v>
      </c>
      <c r="H34" t="n">
        <v>0</v>
      </c>
      <c r="I34" s="3" t="n">
        <v>4400</v>
      </c>
      <c r="J34">
        <f>IF(I34&gt;0,CEILING(I34*(1-Policy!$B$13/100),IF(I34&lt;10000,50,100)),"")</f>
        <v/>
      </c>
      <c r="K34">
        <f>IF(I34&gt;0,ROUNDUP(I34/Policy!$B$14*(1+Policy!$B$15/100),0),"")</f>
        <v/>
      </c>
      <c r="L34" t="n">
        <v>21</v>
      </c>
      <c r="M34" t="inlineStr">
        <is>
          <t>62x88 mm</t>
        </is>
      </c>
    </row>
    <row r="35">
      <c r="A35" t="inlineStr">
        <is>
          <t>AWRI-48-95</t>
        </is>
      </c>
      <c r="B35" t="inlineStr">
        <is>
          <t>AWRI-48-95</t>
        </is>
      </c>
      <c r="C35" t="inlineStr">
        <is>
          <t>AWRI-48</t>
        </is>
      </c>
      <c r="D35" t="inlineStr">
        <is>
          <t>file</t>
        </is>
      </c>
      <c r="E35" t="n">
        <v>4500</v>
      </c>
      <c r="F35" t="inlineStr">
        <is>
          <t>product list / AWRI selector</t>
        </is>
      </c>
      <c r="G35" t="n">
        <v>5820</v>
      </c>
      <c r="H35" t="n">
        <v>0</v>
      </c>
      <c r="I35" s="3" t="n">
        <v>4500</v>
      </c>
      <c r="J35">
        <f>IF(I35&gt;0,CEILING(I35*(1-Policy!$B$13/100),IF(I35&lt;10000,50,100)),"")</f>
        <v/>
      </c>
      <c r="K35">
        <f>IF(I35&gt;0,ROUNDUP(I35/Policy!$B$14*(1+Policy!$B$15/100),0),"")</f>
        <v/>
      </c>
      <c r="L35" t="n">
        <v>21</v>
      </c>
      <c r="M35" t="inlineStr">
        <is>
          <t>81x107 mm</t>
        </is>
      </c>
    </row>
    <row r="36">
      <c r="A36" t="inlineStr">
        <is>
          <t>AWRI-64-20</t>
        </is>
      </c>
      <c r="B36" t="inlineStr">
        <is>
          <t>AWRI-64-20</t>
        </is>
      </c>
      <c r="C36" t="inlineStr">
        <is>
          <t>AWRI-64</t>
        </is>
      </c>
      <c r="D36" t="inlineStr">
        <is>
          <t>file</t>
        </is>
      </c>
      <c r="E36" t="n">
        <v>4250</v>
      </c>
      <c r="F36" t="inlineStr">
        <is>
          <t>product list / AWRI selector</t>
        </is>
      </c>
      <c r="G36" t="n">
        <v>6144</v>
      </c>
      <c r="H36" t="n">
        <v>0</v>
      </c>
      <c r="I36" s="3" t="n">
        <v>4250</v>
      </c>
      <c r="J36">
        <f>IF(I36&gt;0,CEILING(I36*(1-Policy!$B$13/100),IF(I36&lt;10000,50,100)),"")</f>
        <v/>
      </c>
      <c r="K36">
        <f>IF(I36&gt;0,ROUNDUP(I36/Policy!$B$14*(1+Policy!$B$15/100),0),"")</f>
        <v/>
      </c>
      <c r="L36" t="n">
        <v>21</v>
      </c>
      <c r="M36" t="inlineStr">
        <is>
          <t>48x56 mm</t>
        </is>
      </c>
    </row>
    <row r="37">
      <c r="A37" t="inlineStr">
        <is>
          <t>AWRI-64-40</t>
        </is>
      </c>
      <c r="B37" t="inlineStr">
        <is>
          <t>AWRI-64-40</t>
        </is>
      </c>
      <c r="C37" t="inlineStr">
        <is>
          <t>AWRI-64</t>
        </is>
      </c>
      <c r="D37" t="inlineStr">
        <is>
          <t>file</t>
        </is>
      </c>
      <c r="E37" t="n">
        <v>4550</v>
      </c>
      <c r="F37" t="inlineStr">
        <is>
          <t>product list / AWRI selector</t>
        </is>
      </c>
      <c r="G37" t="n">
        <v>6390</v>
      </c>
      <c r="H37" t="n">
        <v>0</v>
      </c>
      <c r="I37" s="3" t="n">
        <v>4550</v>
      </c>
      <c r="J37">
        <f>IF(I37&gt;0,CEILING(I37*(1-Policy!$B$13/100),IF(I37&lt;10000,50,100)),"")</f>
        <v/>
      </c>
      <c r="K37">
        <f>IF(I37&gt;0,ROUNDUP(I37/Policy!$B$14*(1+Policy!$B$15/100),0),"")</f>
        <v/>
      </c>
      <c r="L37" t="n">
        <v>21</v>
      </c>
      <c r="M37" t="inlineStr">
        <is>
          <t>54x64 mm</t>
        </is>
      </c>
    </row>
    <row r="38">
      <c r="A38" t="inlineStr">
        <is>
          <t>AWRI-64-50</t>
        </is>
      </c>
      <c r="B38" t="inlineStr">
        <is>
          <t>AWRI-64-50</t>
        </is>
      </c>
      <c r="C38" t="inlineStr">
        <is>
          <t>AWRI-64</t>
        </is>
      </c>
      <c r="D38" t="inlineStr">
        <is>
          <t>file</t>
        </is>
      </c>
      <c r="E38" t="n">
        <v>4750</v>
      </c>
      <c r="F38" t="inlineStr">
        <is>
          <t>product list / AWRI selector</t>
        </is>
      </c>
      <c r="G38" t="n">
        <v>6586</v>
      </c>
      <c r="H38" t="n">
        <v>0</v>
      </c>
      <c r="I38" s="3" t="n">
        <v>4750</v>
      </c>
      <c r="J38">
        <f>IF(I38&gt;0,CEILING(I38*(1-Policy!$B$13/100),IF(I38&lt;10000,50,100)),"")</f>
        <v/>
      </c>
      <c r="K38">
        <f>IF(I38&gt;0,ROUNDUP(I38/Policy!$B$14*(1+Policy!$B$15/100),0),"")</f>
        <v/>
      </c>
      <c r="L38" t="n">
        <v>21</v>
      </c>
      <c r="M38" t="inlineStr">
        <is>
          <t>59x71 mm</t>
        </is>
      </c>
    </row>
    <row r="39">
      <c r="A39" t="inlineStr">
        <is>
          <t>AWRI-64-60</t>
        </is>
      </c>
      <c r="B39" t="inlineStr">
        <is>
          <t>AWRI-64-60</t>
        </is>
      </c>
      <c r="C39" t="inlineStr">
        <is>
          <t>AWRI-64</t>
        </is>
      </c>
      <c r="D39" t="inlineStr">
        <is>
          <t>file</t>
        </is>
      </c>
      <c r="E39" t="n">
        <v>4800</v>
      </c>
      <c r="F39" t="inlineStr">
        <is>
          <t>product list / AWRI selector</t>
        </is>
      </c>
      <c r="G39" t="n">
        <v>6796</v>
      </c>
      <c r="H39" t="n">
        <v>0</v>
      </c>
      <c r="I39" s="3" t="n">
        <v>4800</v>
      </c>
      <c r="J39">
        <f>IF(I39&gt;0,CEILING(I39*(1-Policy!$B$13/100),IF(I39&lt;10000,50,100)),"")</f>
        <v/>
      </c>
      <c r="K39">
        <f>IF(I39&gt;0,ROUNDUP(I39/Policy!$B$14*(1+Policy!$B$15/100),0),"")</f>
        <v/>
      </c>
      <c r="L39" t="n">
        <v>21</v>
      </c>
      <c r="M39" t="inlineStr">
        <is>
          <t>64x80 mm</t>
        </is>
      </c>
    </row>
    <row r="40">
      <c r="A40" t="inlineStr">
        <is>
          <t>AWRI-64-70</t>
        </is>
      </c>
      <c r="B40" t="inlineStr">
        <is>
          <t>AWRI-64-70</t>
        </is>
      </c>
      <c r="C40" t="inlineStr">
        <is>
          <t>AWRI-64</t>
        </is>
      </c>
      <c r="D40" t="inlineStr">
        <is>
          <t>file</t>
        </is>
      </c>
      <c r="E40" t="n">
        <v>4850</v>
      </c>
      <c r="F40" t="inlineStr">
        <is>
          <t>product list / AWRI selector</t>
        </is>
      </c>
      <c r="G40" t="n">
        <v>6910</v>
      </c>
      <c r="H40" t="n">
        <v>0</v>
      </c>
      <c r="I40" s="3" t="n">
        <v>4850</v>
      </c>
      <c r="J40">
        <f>IF(I40&gt;0,CEILING(I40*(1-Policy!$B$13/100),IF(I40&lt;10000,50,100)),"")</f>
        <v/>
      </c>
      <c r="K40">
        <f>IF(I40&gt;0,ROUNDUP(I40/Policy!$B$14*(1+Policy!$B$15/100),0),"")</f>
        <v/>
      </c>
      <c r="L40" t="n">
        <v>21</v>
      </c>
      <c r="M40" t="inlineStr">
        <is>
          <t>64x89 mm</t>
        </is>
      </c>
    </row>
    <row r="41">
      <c r="A41" t="inlineStr">
        <is>
          <t>AWRI-64-80</t>
        </is>
      </c>
      <c r="B41" t="inlineStr">
        <is>
          <t>AWRI-64-80</t>
        </is>
      </c>
      <c r="C41" t="inlineStr">
        <is>
          <t>AWRI-64</t>
        </is>
      </c>
      <c r="D41" t="inlineStr">
        <is>
          <t>file</t>
        </is>
      </c>
      <c r="E41" t="n">
        <v>4950</v>
      </c>
      <c r="F41" t="inlineStr">
        <is>
          <t>product list / AWRI selector</t>
        </is>
      </c>
      <c r="G41" t="n">
        <v>7032</v>
      </c>
      <c r="H41" t="n">
        <v>0</v>
      </c>
      <c r="I41" s="3" t="n">
        <v>4950</v>
      </c>
      <c r="J41">
        <f>IF(I41&gt;0,CEILING(I41*(1-Policy!$B$13/100),IF(I41&lt;10000,50,100)),"")</f>
        <v/>
      </c>
      <c r="K41">
        <f>IF(I41&gt;0,ROUNDUP(I41/Policy!$B$14*(1+Policy!$B$15/100),0),"")</f>
        <v/>
      </c>
      <c r="L41" t="n">
        <v>21</v>
      </c>
      <c r="M41" t="inlineStr">
        <is>
          <t>67x95 mm</t>
        </is>
      </c>
    </row>
    <row r="42">
      <c r="A42" t="inlineStr">
        <is>
          <t>AWRI-64-85</t>
        </is>
      </c>
      <c r="B42" t="inlineStr">
        <is>
          <t>AWRI-64-85</t>
        </is>
      </c>
      <c r="C42" t="inlineStr">
        <is>
          <t>AWRI-64</t>
        </is>
      </c>
      <c r="D42" t="inlineStr">
        <is>
          <t>file</t>
        </is>
      </c>
      <c r="E42" t="n">
        <v>5200</v>
      </c>
      <c r="F42" t="inlineStr">
        <is>
          <t>product list / AWRI selector</t>
        </is>
      </c>
      <c r="G42" t="n">
        <v>7088</v>
      </c>
      <c r="H42" t="n">
        <v>0</v>
      </c>
      <c r="I42" s="3" t="n">
        <v>5200</v>
      </c>
      <c r="J42">
        <f>IF(I42&gt;0,CEILING(I42*(1-Policy!$B$13/100),IF(I42&lt;10000,50,100)),"")</f>
        <v/>
      </c>
      <c r="K42">
        <f>IF(I42&gt;0,ROUNDUP(I42/Policy!$B$14*(1+Policy!$B$15/100),0),"")</f>
        <v/>
      </c>
      <c r="L42" t="n">
        <v>21</v>
      </c>
      <c r="M42" t="inlineStr">
        <is>
          <t>67x100 mm</t>
        </is>
      </c>
    </row>
    <row r="43">
      <c r="A43" t="inlineStr">
        <is>
          <t>AWRI-64-90</t>
        </is>
      </c>
      <c r="B43" t="inlineStr">
        <is>
          <t>AWRI-64-90</t>
        </is>
      </c>
      <c r="C43" t="inlineStr">
        <is>
          <t>AWRI-64</t>
        </is>
      </c>
      <c r="D43" t="inlineStr">
        <is>
          <t>file</t>
        </is>
      </c>
      <c r="E43" t="n">
        <v>6200</v>
      </c>
      <c r="F43" t="inlineStr">
        <is>
          <t>product list / AWRI selector</t>
        </is>
      </c>
      <c r="G43" t="n">
        <v>7419</v>
      </c>
      <c r="H43" t="n">
        <v>0</v>
      </c>
      <c r="I43" s="3" t="n">
        <v>6200</v>
      </c>
      <c r="J43">
        <f>IF(I43&gt;0,CEILING(I43*(1-Policy!$B$13/100),IF(I43&lt;10000,50,100)),"")</f>
        <v/>
      </c>
      <c r="K43">
        <f>IF(I43&gt;0,ROUNDUP(I43/Policy!$B$14*(1+Policy!$B$15/100),0),"")</f>
        <v/>
      </c>
      <c r="L43" t="n">
        <v>21</v>
      </c>
      <c r="M43" t="inlineStr">
        <is>
          <t>83x108 mm</t>
        </is>
      </c>
    </row>
    <row r="44">
      <c r="A44" t="inlineStr">
        <is>
          <t>AWRI-95-20</t>
        </is>
      </c>
      <c r="B44" t="inlineStr">
        <is>
          <t>AWRI-95-20</t>
        </is>
      </c>
      <c r="C44" t="inlineStr">
        <is>
          <t>AWRI-95</t>
        </is>
      </c>
      <c r="D44" t="inlineStr">
        <is>
          <t>file</t>
        </is>
      </c>
      <c r="E44" t="n">
        <v>9300</v>
      </c>
      <c r="F44" t="inlineStr">
        <is>
          <t>product list / AWRI selector</t>
        </is>
      </c>
      <c r="G44" t="n">
        <v>9644</v>
      </c>
      <c r="H44" t="n">
        <v>0</v>
      </c>
      <c r="I44" s="3" t="n">
        <v>9300</v>
      </c>
      <c r="J44">
        <f>IF(I44&gt;0,CEILING(I44*(1-Policy!$B$13/100),IF(I44&lt;10000,50,100)),"")</f>
        <v/>
      </c>
      <c r="K44">
        <f>IF(I44&gt;0,ROUNDUP(I44/Policy!$B$14*(1+Policy!$B$15/100),0),"")</f>
        <v/>
      </c>
      <c r="L44" t="n">
        <v>21</v>
      </c>
      <c r="M44" t="inlineStr">
        <is>
          <t>71x84 mm</t>
        </is>
      </c>
    </row>
    <row r="45">
      <c r="A45" t="inlineStr">
        <is>
          <t>AWRI-95-30</t>
        </is>
      </c>
      <c r="B45" t="inlineStr">
        <is>
          <t>AWRI-95-30</t>
        </is>
      </c>
      <c r="C45" t="inlineStr">
        <is>
          <t>AWRI-95</t>
        </is>
      </c>
      <c r="D45" t="inlineStr">
        <is>
          <t>file</t>
        </is>
      </c>
      <c r="E45" t="n">
        <v>9500</v>
      </c>
      <c r="F45" t="inlineStr">
        <is>
          <t>product list / AWRI selector</t>
        </is>
      </c>
      <c r="G45" t="n">
        <v>9795</v>
      </c>
      <c r="H45" t="n">
        <v>0</v>
      </c>
      <c r="I45" s="3" t="n">
        <v>9500</v>
      </c>
      <c r="J45">
        <f>IF(I45&gt;0,CEILING(I45*(1-Policy!$B$13/100),IF(I45&lt;10000,50,100)),"")</f>
        <v/>
      </c>
      <c r="K45">
        <f>IF(I45&gt;0,ROUNDUP(I45/Policy!$B$14*(1+Policy!$B$15/100),0),"")</f>
        <v/>
      </c>
      <c r="L45" t="n">
        <v>21</v>
      </c>
      <c r="M45" t="inlineStr">
        <is>
          <t>74x89 mm</t>
        </is>
      </c>
    </row>
    <row r="46">
      <c r="A46" t="inlineStr">
        <is>
          <t>AWRI-95-26</t>
        </is>
      </c>
      <c r="B46" t="inlineStr">
        <is>
          <t>AWRI-95-26</t>
        </is>
      </c>
      <c r="C46" t="inlineStr">
        <is>
          <t>AWRI-95</t>
        </is>
      </c>
      <c r="D46" t="inlineStr">
        <is>
          <t>file</t>
        </is>
      </c>
      <c r="E46" t="n">
        <v>9200</v>
      </c>
      <c r="F46" t="inlineStr">
        <is>
          <t>product list / AWRI selector</t>
        </is>
      </c>
      <c r="G46" t="n">
        <v>9644</v>
      </c>
      <c r="H46" t="n">
        <v>0</v>
      </c>
      <c r="I46" s="3" t="n">
        <v>9200</v>
      </c>
      <c r="J46">
        <f>IF(I46&gt;0,CEILING(I46*(1-Policy!$B$13/100),IF(I46&lt;10000,50,100)),"")</f>
        <v/>
      </c>
      <c r="K46">
        <f>IF(I46&gt;0,ROUNDUP(I46/Policy!$B$14*(1+Policy!$B$15/100),0),"")</f>
        <v/>
      </c>
      <c r="L46" t="n">
        <v>21</v>
      </c>
      <c r="M46" t="inlineStr">
        <is>
          <t>71x84 mm</t>
        </is>
      </c>
    </row>
    <row r="47">
      <c r="A47" t="inlineStr">
        <is>
          <t>AWRI-95-40</t>
        </is>
      </c>
      <c r="B47" t="inlineStr">
        <is>
          <t>AWRI-95-40</t>
        </is>
      </c>
      <c r="C47" t="inlineStr">
        <is>
          <t>AWRI-95</t>
        </is>
      </c>
      <c r="D47" t="inlineStr">
        <is>
          <t>file</t>
        </is>
      </c>
      <c r="E47" t="n">
        <v>9850</v>
      </c>
      <c r="F47" t="inlineStr">
        <is>
          <t>product list / AWRI selector</t>
        </is>
      </c>
      <c r="G47" t="n">
        <v>10094</v>
      </c>
      <c r="H47" t="n">
        <v>0</v>
      </c>
      <c r="I47" s="3" t="n">
        <v>9850</v>
      </c>
      <c r="J47">
        <f>IF(I47&gt;0,CEILING(I47*(1-Policy!$B$13/100),IF(I47&lt;10000,50,100)),"")</f>
        <v/>
      </c>
      <c r="K47">
        <f>IF(I47&gt;0,ROUNDUP(I47/Policy!$B$14*(1+Policy!$B$15/100),0),"")</f>
        <v/>
      </c>
      <c r="L47" t="n">
        <v>21</v>
      </c>
      <c r="M47" t="inlineStr">
        <is>
          <t>76x105 mm</t>
        </is>
      </c>
    </row>
    <row r="48">
      <c r="A48" t="inlineStr">
        <is>
          <t>AWRI-95-36</t>
        </is>
      </c>
      <c r="B48" t="inlineStr">
        <is>
          <t>AWRI-95-36</t>
        </is>
      </c>
      <c r="C48" t="inlineStr">
        <is>
          <t>AWRI-95</t>
        </is>
      </c>
      <c r="D48" t="inlineStr">
        <is>
          <t>file</t>
        </is>
      </c>
      <c r="E48" t="n">
        <v>9300</v>
      </c>
      <c r="F48" t="inlineStr">
        <is>
          <t>product list / AWRI selector</t>
        </is>
      </c>
      <c r="G48" t="n">
        <v>9795</v>
      </c>
      <c r="H48" t="n">
        <v>0</v>
      </c>
      <c r="I48" s="3" t="n">
        <v>9300</v>
      </c>
      <c r="J48">
        <f>IF(I48&gt;0,CEILING(I48*(1-Policy!$B$13/100),IF(I48&lt;10000,50,100)),"")</f>
        <v/>
      </c>
      <c r="K48">
        <f>IF(I48&gt;0,ROUNDUP(I48/Policy!$B$14*(1+Policy!$B$15/100),0),"")</f>
        <v/>
      </c>
      <c r="L48" t="n">
        <v>21</v>
      </c>
      <c r="M48" t="inlineStr">
        <is>
          <t>74x89 mm</t>
        </is>
      </c>
    </row>
    <row r="49">
      <c r="A49" t="inlineStr">
        <is>
          <t>AWRI-95-50</t>
        </is>
      </c>
      <c r="B49" t="inlineStr">
        <is>
          <t>AWRI-95-50</t>
        </is>
      </c>
      <c r="C49" t="inlineStr">
        <is>
          <t>AWRI-95</t>
        </is>
      </c>
      <c r="D49" t="inlineStr">
        <is>
          <t>file</t>
        </is>
      </c>
      <c r="E49" t="n">
        <v>10200</v>
      </c>
      <c r="F49" t="inlineStr">
        <is>
          <t>product list / AWRI selector</t>
        </is>
      </c>
      <c r="G49" t="n">
        <v>10279</v>
      </c>
      <c r="H49" t="n">
        <v>0</v>
      </c>
      <c r="I49" s="3" t="n">
        <v>10200</v>
      </c>
      <c r="J49">
        <f>IF(I49&gt;0,CEILING(I49*(1-Policy!$B$13/100),IF(I49&lt;10000,50,100)),"")</f>
        <v/>
      </c>
      <c r="K49">
        <f>IF(I49&gt;0,ROUNDUP(I49/Policy!$B$14*(1+Policy!$B$15/100),0),"")</f>
        <v/>
      </c>
      <c r="L49" t="n">
        <v>21</v>
      </c>
      <c r="M49" t="inlineStr">
        <is>
          <t>83x108 mm</t>
        </is>
      </c>
    </row>
    <row r="50">
      <c r="A50" t="inlineStr">
        <is>
          <t>AWRI-95-60</t>
        </is>
      </c>
      <c r="B50" t="inlineStr">
        <is>
          <t>AWRI-95-60</t>
        </is>
      </c>
      <c r="C50" t="inlineStr">
        <is>
          <t>AWRI-95</t>
        </is>
      </c>
      <c r="D50" t="inlineStr">
        <is>
          <t>file</t>
        </is>
      </c>
      <c r="E50" t="n">
        <v>10300</v>
      </c>
      <c r="F50" t="inlineStr">
        <is>
          <t>product list / AWRI selector</t>
        </is>
      </c>
      <c r="G50" t="n">
        <v>10392</v>
      </c>
      <c r="H50" t="n">
        <v>0</v>
      </c>
      <c r="I50" s="3" t="n">
        <v>10300</v>
      </c>
      <c r="J50">
        <f>IF(I50&gt;0,CEILING(I50*(1-Policy!$B$13/100),IF(I50&lt;10000,50,100)),"")</f>
        <v/>
      </c>
      <c r="K50">
        <f>IF(I50&gt;0,ROUNDUP(I50/Policy!$B$14*(1+Policy!$B$15/100),0),"")</f>
        <v/>
      </c>
      <c r="L50" t="n">
        <v>21</v>
      </c>
      <c r="M50" t="inlineStr">
        <is>
          <t>89x108 mm</t>
        </is>
      </c>
    </row>
    <row r="51">
      <c r="A51" t="inlineStr">
        <is>
          <t>AWRI-95-46</t>
        </is>
      </c>
      <c r="B51" t="inlineStr">
        <is>
          <t>AWRI-95-46</t>
        </is>
      </c>
      <c r="C51" t="inlineStr">
        <is>
          <t>AWRI-95</t>
        </is>
      </c>
      <c r="D51" t="inlineStr">
        <is>
          <t>file</t>
        </is>
      </c>
      <c r="E51" t="n">
        <v>9700</v>
      </c>
      <c r="F51" t="inlineStr">
        <is>
          <t>product list / AWRI selector</t>
        </is>
      </c>
      <c r="G51" t="n">
        <v>10094</v>
      </c>
      <c r="H51" t="n">
        <v>0</v>
      </c>
      <c r="I51" s="3" t="n">
        <v>9700</v>
      </c>
      <c r="J51">
        <f>IF(I51&gt;0,CEILING(I51*(1-Policy!$B$13/100),IF(I51&lt;10000,50,100)),"")</f>
        <v/>
      </c>
      <c r="K51">
        <f>IF(I51&gt;0,ROUNDUP(I51/Policy!$B$14*(1+Policy!$B$15/100),0),"")</f>
        <v/>
      </c>
      <c r="L51" t="n">
        <v>21</v>
      </c>
      <c r="M51" t="inlineStr">
        <is>
          <t>76x105 mm</t>
        </is>
      </c>
    </row>
    <row r="52">
      <c r="A52" t="inlineStr">
        <is>
          <t>AWRI-95-56</t>
        </is>
      </c>
      <c r="B52" t="inlineStr">
        <is>
          <t>AWRI-95-56</t>
        </is>
      </c>
      <c r="C52" t="inlineStr">
        <is>
          <t>AWRI-95</t>
        </is>
      </c>
      <c r="D52" t="inlineStr">
        <is>
          <t>file</t>
        </is>
      </c>
      <c r="E52" t="n">
        <v>9900</v>
      </c>
      <c r="F52" t="inlineStr">
        <is>
          <t>product list / AWRI selector</t>
        </is>
      </c>
      <c r="G52" t="n">
        <v>10279</v>
      </c>
      <c r="H52" t="n">
        <v>0</v>
      </c>
      <c r="I52" s="3" t="n">
        <v>9900</v>
      </c>
      <c r="J52">
        <f>IF(I52&gt;0,CEILING(I52*(1-Policy!$B$13/100),IF(I52&lt;10000,50,100)),"")</f>
        <v/>
      </c>
      <c r="K52">
        <f>IF(I52&gt;0,ROUNDUP(I52/Policy!$B$14*(1+Policy!$B$15/100),0),"")</f>
        <v/>
      </c>
      <c r="L52" t="n">
        <v>21</v>
      </c>
      <c r="M52" t="inlineStr">
        <is>
          <t>83x108 mm</t>
        </is>
      </c>
    </row>
    <row r="53">
      <c r="A53" t="inlineStr">
        <is>
          <t>AWRI-95-66</t>
        </is>
      </c>
      <c r="B53" t="inlineStr">
        <is>
          <t>AWRI-95-66</t>
        </is>
      </c>
      <c r="C53" t="inlineStr">
        <is>
          <t>AWRI-95</t>
        </is>
      </c>
      <c r="D53" t="inlineStr">
        <is>
          <t>file</t>
        </is>
      </c>
      <c r="E53" t="n">
        <v>10100</v>
      </c>
      <c r="F53" t="inlineStr">
        <is>
          <t>product list / AWRI selector</t>
        </is>
      </c>
      <c r="G53" t="n">
        <v>10392</v>
      </c>
      <c r="H53" t="n">
        <v>0</v>
      </c>
      <c r="I53" s="3" t="n">
        <v>10100</v>
      </c>
      <c r="J53">
        <f>IF(I53&gt;0,CEILING(I53*(1-Policy!$B$13/100),IF(I53&lt;10000,50,100)),"")</f>
        <v/>
      </c>
      <c r="K53">
        <f>IF(I53&gt;0,ROUNDUP(I53/Policy!$B$14*(1+Policy!$B$15/100),0),"")</f>
        <v/>
      </c>
      <c r="L53" t="n">
        <v>21</v>
      </c>
      <c r="M53" t="inlineStr">
        <is>
          <t>89x108 mm</t>
        </is>
      </c>
    </row>
    <row r="54">
      <c r="A54" t="inlineStr">
        <is>
          <t>AWRI-95-70</t>
        </is>
      </c>
      <c r="B54" t="inlineStr">
        <is>
          <t>AWRI-95-70</t>
        </is>
      </c>
      <c r="C54" t="inlineStr">
        <is>
          <t>AWRI-95</t>
        </is>
      </c>
      <c r="D54" t="inlineStr">
        <is>
          <t>file</t>
        </is>
      </c>
      <c r="E54" t="n">
        <v>10500</v>
      </c>
      <c r="F54" t="inlineStr">
        <is>
          <t>product list / AWRI selector</t>
        </is>
      </c>
      <c r="G54" t="n">
        <v>10856</v>
      </c>
      <c r="H54" t="n">
        <v>0</v>
      </c>
      <c r="I54" s="3" t="n">
        <v>10500</v>
      </c>
      <c r="J54">
        <f>IF(I54&gt;0,CEILING(I54*(1-Policy!$B$13/100),IF(I54&lt;10000,50,100)),"")</f>
        <v/>
      </c>
      <c r="K54">
        <f>IF(I54&gt;0,ROUNDUP(I54/Policy!$B$14*(1+Policy!$B$15/100),0),"")</f>
        <v/>
      </c>
      <c r="L54" t="n">
        <v>21</v>
      </c>
      <c r="M54" t="inlineStr">
        <is>
          <t>105x121 mm</t>
        </is>
      </c>
    </row>
    <row r="55">
      <c r="A55" t="inlineStr">
        <is>
          <t>AWRI-95-80</t>
        </is>
      </c>
      <c r="B55" t="inlineStr">
        <is>
          <t>AWRI-95-80</t>
        </is>
      </c>
      <c r="C55" t="inlineStr">
        <is>
          <t>AWRI-95</t>
        </is>
      </c>
      <c r="D55" t="inlineStr">
        <is>
          <t>file</t>
        </is>
      </c>
      <c r="E55" t="n">
        <v>10800</v>
      </c>
      <c r="F55" t="inlineStr">
        <is>
          <t>product list / AWRI selector</t>
        </is>
      </c>
      <c r="G55" t="n">
        <v>11156</v>
      </c>
      <c r="H55" t="n">
        <v>0</v>
      </c>
      <c r="I55" s="3" t="n">
        <v>10800</v>
      </c>
      <c r="J55">
        <f>IF(I55&gt;0,CEILING(I55*(1-Policy!$B$13/100),IF(I55&lt;10000,50,100)),"")</f>
        <v/>
      </c>
      <c r="K55">
        <f>IF(I55&gt;0,ROUNDUP(I55/Policy!$B$14*(1+Policy!$B$15/100),0),"")</f>
        <v/>
      </c>
      <c r="L55" t="n">
        <v>21</v>
      </c>
      <c r="M55" t="inlineStr">
        <is>
          <t>108x140 mm</t>
        </is>
      </c>
    </row>
    <row r="56">
      <c r="A56" t="inlineStr">
        <is>
          <t>AWRI-95-76</t>
        </is>
      </c>
      <c r="B56" t="inlineStr">
        <is>
          <t>AWRI-95-76</t>
        </is>
      </c>
      <c r="C56" t="inlineStr">
        <is>
          <t>AWRI-95</t>
        </is>
      </c>
      <c r="D56" t="inlineStr">
        <is>
          <t>file</t>
        </is>
      </c>
      <c r="E56" t="n">
        <v>10200</v>
      </c>
      <c r="F56" t="inlineStr">
        <is>
          <t>product list / AWRI selector</t>
        </is>
      </c>
      <c r="G56" t="n">
        <v>10856</v>
      </c>
      <c r="H56" t="n">
        <v>0</v>
      </c>
      <c r="I56" s="3" t="n">
        <v>10200</v>
      </c>
      <c r="J56">
        <f>IF(I56&gt;0,CEILING(I56*(1-Policy!$B$13/100),IF(I56&lt;10000,50,100)),"")</f>
        <v/>
      </c>
      <c r="K56">
        <f>IF(I56&gt;0,ROUNDUP(I56/Policy!$B$14*(1+Policy!$B$15/100),0),"")</f>
        <v/>
      </c>
      <c r="L56" t="n">
        <v>21</v>
      </c>
      <c r="M56" t="inlineStr">
        <is>
          <t>105x121 mm</t>
        </is>
      </c>
    </row>
    <row r="57">
      <c r="A57" t="inlineStr">
        <is>
          <t>AWRI-95-86</t>
        </is>
      </c>
      <c r="B57" t="inlineStr">
        <is>
          <t>AWRI-95-86</t>
        </is>
      </c>
      <c r="C57" t="inlineStr">
        <is>
          <t>AWRI-95</t>
        </is>
      </c>
      <c r="D57" t="inlineStr">
        <is>
          <t>file</t>
        </is>
      </c>
      <c r="E57" t="n">
        <v>10600</v>
      </c>
      <c r="F57" t="inlineStr">
        <is>
          <t>product list / AWRI selector</t>
        </is>
      </c>
      <c r="G57" t="n">
        <v>11156</v>
      </c>
      <c r="H57" t="n">
        <v>0</v>
      </c>
      <c r="I57" s="3" t="n">
        <v>10600</v>
      </c>
      <c r="J57">
        <f>IF(I57&gt;0,CEILING(I57*(1-Policy!$B$13/100),IF(I57&lt;10000,50,100)),"")</f>
        <v/>
      </c>
      <c r="K57">
        <f>IF(I57&gt;0,ROUNDUP(I57/Policy!$B$14*(1+Policy!$B$15/100),0),"")</f>
        <v/>
      </c>
      <c r="L57" t="n">
        <v>21</v>
      </c>
      <c r="M57" t="inlineStr">
        <is>
          <t>108x140 mm</t>
        </is>
      </c>
    </row>
    <row r="58">
      <c r="A58" t="inlineStr">
        <is>
          <t>AWRI-127-20</t>
        </is>
      </c>
      <c r="B58" t="inlineStr">
        <is>
          <t>AWRI-127-20</t>
        </is>
      </c>
      <c r="C58" t="inlineStr">
        <is>
          <t>AWRI-127</t>
        </is>
      </c>
      <c r="D58" t="inlineStr">
        <is>
          <t>file</t>
        </is>
      </c>
      <c r="E58" t="n">
        <v>12800</v>
      </c>
      <c r="F58" t="inlineStr">
        <is>
          <t>product list / AWRI selector</t>
        </is>
      </c>
      <c r="G58" t="n">
        <v>12564</v>
      </c>
      <c r="H58" t="n">
        <v>0</v>
      </c>
      <c r="I58" s="3" t="n">
        <v>12800</v>
      </c>
      <c r="J58">
        <f>IF(I58&gt;0,CEILING(I58*(1-Policy!$B$13/100),IF(I58&lt;10000,50,100)),"")</f>
        <v/>
      </c>
      <c r="K58">
        <f>IF(I58&gt;0,ROUNDUP(I58/Policy!$B$14*(1+Policy!$B$15/100),0),"")</f>
        <v/>
      </c>
      <c r="L58" t="n">
        <v>21</v>
      </c>
      <c r="M58" t="inlineStr">
        <is>
          <t>76x92 mm</t>
        </is>
      </c>
    </row>
    <row r="59">
      <c r="A59" t="inlineStr">
        <is>
          <t>AWRI-127-30</t>
        </is>
      </c>
      <c r="B59" t="inlineStr">
        <is>
          <t>AWRI-127-30</t>
        </is>
      </c>
      <c r="C59" t="inlineStr">
        <is>
          <t>AWRI-127</t>
        </is>
      </c>
      <c r="D59" t="inlineStr">
        <is>
          <t>file</t>
        </is>
      </c>
      <c r="E59" t="n">
        <v>13200</v>
      </c>
      <c r="F59" t="inlineStr">
        <is>
          <t>product list / AWRI selector</t>
        </is>
      </c>
      <c r="G59" t="n">
        <v>12946</v>
      </c>
      <c r="H59" t="n">
        <v>0</v>
      </c>
      <c r="I59" s="3" t="n">
        <v>13200</v>
      </c>
      <c r="J59">
        <f>IF(I59&gt;0,CEILING(I59*(1-Policy!$B$13/100),IF(I59&lt;10000,50,100)),"")</f>
        <v/>
      </c>
      <c r="K59">
        <f>IF(I59&gt;0,ROUNDUP(I59/Policy!$B$14*(1+Policy!$B$15/100),0),"")</f>
        <v/>
      </c>
      <c r="L59" t="n">
        <v>21</v>
      </c>
      <c r="M59" t="inlineStr">
        <is>
          <t>83x102 mm</t>
        </is>
      </c>
    </row>
    <row r="60">
      <c r="A60" t="inlineStr">
        <is>
          <t>AWRI-127-40</t>
        </is>
      </c>
      <c r="B60" t="inlineStr">
        <is>
          <t>AWRI-127-40</t>
        </is>
      </c>
      <c r="C60" t="inlineStr">
        <is>
          <t>AWRI-127</t>
        </is>
      </c>
      <c r="D60" t="inlineStr">
        <is>
          <t>file</t>
        </is>
      </c>
      <c r="E60" t="n">
        <v>13300</v>
      </c>
      <c r="F60" t="inlineStr">
        <is>
          <t>product list / AWRI selector</t>
        </is>
      </c>
      <c r="G60" t="n">
        <v>13148</v>
      </c>
      <c r="H60" t="n">
        <v>0</v>
      </c>
      <c r="I60" s="3" t="n">
        <v>13300</v>
      </c>
      <c r="J60">
        <f>IF(I60&gt;0,CEILING(I60*(1-Policy!$B$13/100),IF(I60&lt;10000,50,100)),"")</f>
        <v/>
      </c>
      <c r="K60">
        <f>IF(I60&gt;0,ROUNDUP(I60/Policy!$B$14*(1+Policy!$B$15/100),0),"")</f>
        <v/>
      </c>
      <c r="L60" t="n">
        <v>21</v>
      </c>
      <c r="M60" t="inlineStr">
        <is>
          <t>89x105 mm</t>
        </is>
      </c>
    </row>
    <row r="61">
      <c r="A61" t="inlineStr">
        <is>
          <t>AWRI-127-26</t>
        </is>
      </c>
      <c r="B61" t="inlineStr">
        <is>
          <t>AWRI-127-26</t>
        </is>
      </c>
      <c r="C61" t="inlineStr">
        <is>
          <t>AWRI-127</t>
        </is>
      </c>
      <c r="D61" t="inlineStr">
        <is>
          <t>file</t>
        </is>
      </c>
      <c r="E61" t="n">
        <v>12600</v>
      </c>
      <c r="F61" t="inlineStr">
        <is>
          <t>product list / AWRI selector</t>
        </is>
      </c>
      <c r="G61" t="n">
        <v>12564</v>
      </c>
      <c r="H61" t="n">
        <v>0</v>
      </c>
      <c r="I61" s="3" t="n">
        <v>12600</v>
      </c>
      <c r="J61">
        <f>IF(I61&gt;0,CEILING(I61*(1-Policy!$B$13/100),IF(I61&lt;10000,50,100)),"")</f>
        <v/>
      </c>
      <c r="K61">
        <f>IF(I61&gt;0,ROUNDUP(I61/Policy!$B$14*(1+Policy!$B$15/100),0),"")</f>
        <v/>
      </c>
      <c r="L61" t="n">
        <v>21</v>
      </c>
      <c r="M61" t="inlineStr">
        <is>
          <t>76x92 mm</t>
        </is>
      </c>
    </row>
    <row r="62">
      <c r="A62" t="inlineStr">
        <is>
          <t>AWRI-127-60</t>
        </is>
      </c>
      <c r="B62" t="inlineStr">
        <is>
          <t>AWRI-127-60</t>
        </is>
      </c>
      <c r="C62" t="inlineStr">
        <is>
          <t>AWRI-127</t>
        </is>
      </c>
      <c r="D62" t="inlineStr">
        <is>
          <t>file</t>
        </is>
      </c>
      <c r="E62" t="n">
        <v>15500</v>
      </c>
      <c r="F62" t="inlineStr">
        <is>
          <t>Paresh 25-09-2026, from WR costing sheets</t>
        </is>
      </c>
      <c r="G62" t="n">
        <v>13581</v>
      </c>
      <c r="H62" t="n">
        <v>0</v>
      </c>
      <c r="I62" s="3" t="n">
        <v>15500</v>
      </c>
      <c r="J62">
        <f>IF(I62&gt;0,CEILING(I62*(1-Policy!$B$13/100),IF(I62&lt;10000,50,100)),"")</f>
        <v/>
      </c>
      <c r="K62">
        <f>IF(I62&gt;0,ROUNDUP(I62/Policy!$B$14*(1+Policy!$B$15/100),0),"")</f>
        <v/>
      </c>
      <c r="L62" t="n">
        <v>21</v>
      </c>
      <c r="M62" t="inlineStr">
        <is>
          <t>95x121 mm</t>
        </is>
      </c>
    </row>
    <row r="63">
      <c r="A63" t="inlineStr">
        <is>
          <t>AWRI-127-36</t>
        </is>
      </c>
      <c r="B63" t="inlineStr">
        <is>
          <t>AWRI-127-36</t>
        </is>
      </c>
      <c r="C63" t="inlineStr">
        <is>
          <t>AWRI-127</t>
        </is>
      </c>
      <c r="D63" t="inlineStr">
        <is>
          <t>file</t>
        </is>
      </c>
      <c r="E63" t="n">
        <v>13000</v>
      </c>
      <c r="F63" t="inlineStr">
        <is>
          <t>product list / AWRI selector</t>
        </is>
      </c>
      <c r="G63" t="n">
        <v>12946</v>
      </c>
      <c r="H63" t="n">
        <v>0</v>
      </c>
      <c r="I63" s="3" t="n">
        <v>13000</v>
      </c>
      <c r="J63">
        <f>IF(I63&gt;0,CEILING(I63*(1-Policy!$B$13/100),IF(I63&lt;10000,50,100)),"")</f>
        <v/>
      </c>
      <c r="K63">
        <f>IF(I63&gt;0,ROUNDUP(I63/Policy!$B$14*(1+Policy!$B$15/100),0),"")</f>
        <v/>
      </c>
      <c r="L63" t="n">
        <v>21</v>
      </c>
      <c r="M63" t="inlineStr">
        <is>
          <t>83x102 mm</t>
        </is>
      </c>
    </row>
    <row r="64">
      <c r="A64" t="inlineStr">
        <is>
          <t>AWRI-127-46</t>
        </is>
      </c>
      <c r="B64" t="inlineStr">
        <is>
          <t>AWRI-127-46</t>
        </is>
      </c>
      <c r="C64" t="inlineStr">
        <is>
          <t>AWRI-127</t>
        </is>
      </c>
      <c r="D64" t="inlineStr">
        <is>
          <t>file</t>
        </is>
      </c>
      <c r="E64" t="n">
        <v>13100</v>
      </c>
      <c r="F64" t="inlineStr">
        <is>
          <t>product list / AWRI selector</t>
        </is>
      </c>
      <c r="G64" t="n">
        <v>13148</v>
      </c>
      <c r="H64" t="n">
        <v>0</v>
      </c>
      <c r="I64" s="3" t="n">
        <v>13100</v>
      </c>
      <c r="J64">
        <f>IF(I64&gt;0,CEILING(I64*(1-Policy!$B$13/100),IF(I64&lt;10000,50,100)),"")</f>
        <v/>
      </c>
      <c r="K64">
        <f>IF(I64&gt;0,ROUNDUP(I64/Policy!$B$14*(1+Policy!$B$15/100),0),"")</f>
        <v/>
      </c>
      <c r="L64" t="n">
        <v>21</v>
      </c>
      <c r="M64" t="inlineStr">
        <is>
          <t>89x105 mm</t>
        </is>
      </c>
    </row>
    <row r="65">
      <c r="A65" t="inlineStr">
        <is>
          <t>AWRI-127-70</t>
        </is>
      </c>
      <c r="B65" t="inlineStr">
        <is>
          <t>AWRI-127-70</t>
        </is>
      </c>
      <c r="C65" t="inlineStr">
        <is>
          <t>AWRI-127</t>
        </is>
      </c>
      <c r="D65" t="inlineStr">
        <is>
          <t>file</t>
        </is>
      </c>
      <c r="E65" t="n">
        <v>13700</v>
      </c>
      <c r="F65" t="inlineStr">
        <is>
          <t>product list / AWRI selector</t>
        </is>
      </c>
      <c r="G65" t="n">
        <v>14064</v>
      </c>
      <c r="H65" t="n">
        <v>0</v>
      </c>
      <c r="I65" s="3" t="n">
        <v>13700</v>
      </c>
      <c r="J65">
        <f>IF(I65&gt;0,CEILING(I65*(1-Policy!$B$13/100),IF(I65&lt;10000,50,100)),"")</f>
        <v/>
      </c>
      <c r="K65">
        <f>IF(I65&gt;0,ROUNDUP(I65/Policy!$B$14*(1+Policy!$B$15/100),0),"")</f>
        <v/>
      </c>
      <c r="L65" t="n">
        <v>21</v>
      </c>
      <c r="M65" t="inlineStr">
        <is>
          <t>108x133 mm</t>
        </is>
      </c>
    </row>
    <row r="66">
      <c r="A66" t="inlineStr">
        <is>
          <t>AWRI-127-66</t>
        </is>
      </c>
      <c r="B66" t="inlineStr">
        <is>
          <t>AWRI-127-66</t>
        </is>
      </c>
      <c r="C66" t="inlineStr">
        <is>
          <t>AWRI-127</t>
        </is>
      </c>
      <c r="D66" t="inlineStr">
        <is>
          <t>file</t>
        </is>
      </c>
      <c r="E66" t="n">
        <v>13200</v>
      </c>
      <c r="F66" t="inlineStr">
        <is>
          <t>product list / AWRI selector</t>
        </is>
      </c>
      <c r="G66" t="n">
        <v>13581</v>
      </c>
      <c r="H66" t="n">
        <v>0</v>
      </c>
      <c r="I66" s="3" t="n">
        <v>13200</v>
      </c>
      <c r="J66">
        <f>IF(I66&gt;0,CEILING(I66*(1-Policy!$B$13/100),IF(I66&lt;10000,50,100)),"")</f>
        <v/>
      </c>
      <c r="K66">
        <f>IF(I66&gt;0,ROUNDUP(I66/Policy!$B$14*(1+Policy!$B$15/100),0),"")</f>
        <v/>
      </c>
      <c r="L66" t="n">
        <v>21</v>
      </c>
      <c r="M66" t="inlineStr">
        <is>
          <t>95x121 mm</t>
        </is>
      </c>
    </row>
    <row r="67">
      <c r="A67" t="inlineStr">
        <is>
          <t>AWRI-127-85</t>
        </is>
      </c>
      <c r="B67" t="inlineStr">
        <is>
          <t>AWRI-127-85</t>
        </is>
      </c>
      <c r="C67" t="inlineStr">
        <is>
          <t>AWRI-127</t>
        </is>
      </c>
      <c r="D67" t="inlineStr">
        <is>
          <t>file</t>
        </is>
      </c>
      <c r="E67" t="n">
        <v>14000</v>
      </c>
      <c r="F67" t="inlineStr">
        <is>
          <t>product list / AWRI selector</t>
        </is>
      </c>
      <c r="G67" t="n">
        <v>14966</v>
      </c>
      <c r="H67" t="n">
        <v>0</v>
      </c>
      <c r="I67" s="3" t="n">
        <v>14000</v>
      </c>
      <c r="J67">
        <f>IF(I67&gt;0,CEILING(I67*(1-Policy!$B$13/100),IF(I67&lt;10000,50,100)),"")</f>
        <v/>
      </c>
      <c r="K67">
        <f>IF(I67&gt;0,ROUNDUP(I67/Policy!$B$14*(1+Policy!$B$15/100),0),"")</f>
        <v/>
      </c>
      <c r="L67" t="n">
        <v>21</v>
      </c>
      <c r="M67" t="inlineStr">
        <is>
          <t>137x156 mm</t>
        </is>
      </c>
    </row>
    <row r="68">
      <c r="A68" t="inlineStr">
        <is>
          <t>AWRI-127-76</t>
        </is>
      </c>
      <c r="B68" t="inlineStr">
        <is>
          <t>AWRI-127-76</t>
        </is>
      </c>
      <c r="C68" t="inlineStr">
        <is>
          <t>AWRI-127</t>
        </is>
      </c>
      <c r="D68" t="inlineStr">
        <is>
          <t>file</t>
        </is>
      </c>
      <c r="E68" t="n">
        <v>13400</v>
      </c>
      <c r="F68" t="inlineStr">
        <is>
          <t>product list / AWRI selector</t>
        </is>
      </c>
      <c r="G68" t="n">
        <v>14064</v>
      </c>
      <c r="H68" t="n">
        <v>0</v>
      </c>
      <c r="I68" s="3" t="n">
        <v>13400</v>
      </c>
      <c r="J68">
        <f>IF(I68&gt;0,CEILING(I68*(1-Policy!$B$13/100),IF(I68&lt;10000,50,100)),"")</f>
        <v/>
      </c>
      <c r="K68">
        <f>IF(I68&gt;0,ROUNDUP(I68/Policy!$B$14*(1+Policy!$B$15/100),0),"")</f>
        <v/>
      </c>
      <c r="L68" t="n">
        <v>21</v>
      </c>
      <c r="M68" t="inlineStr">
        <is>
          <t>108x133 mm</t>
        </is>
      </c>
    </row>
    <row r="69">
      <c r="A69" t="inlineStr">
        <is>
          <t>AWRI-127-86</t>
        </is>
      </c>
      <c r="B69" t="inlineStr">
        <is>
          <t>AWRI-127-86</t>
        </is>
      </c>
      <c r="C69" t="inlineStr">
        <is>
          <t>AWRI-127</t>
        </is>
      </c>
      <c r="D69" t="inlineStr">
        <is>
          <t>file</t>
        </is>
      </c>
      <c r="E69" t="n">
        <v>13800</v>
      </c>
      <c r="F69" t="inlineStr">
        <is>
          <t>product list / AWRI selector</t>
        </is>
      </c>
      <c r="G69" t="n">
        <v>14551</v>
      </c>
      <c r="H69" t="n">
        <v>0</v>
      </c>
      <c r="I69" s="3" t="n">
        <v>13800</v>
      </c>
      <c r="J69">
        <f>IF(I69&gt;0,CEILING(I69*(1-Policy!$B$13/100),IF(I69&lt;10000,50,100)),"")</f>
        <v/>
      </c>
      <c r="K69">
        <f>IF(I69&gt;0,ROUNDUP(I69/Policy!$B$14*(1+Policy!$B$15/100),0),"")</f>
        <v/>
      </c>
      <c r="L69" t="n">
        <v>21</v>
      </c>
      <c r="M69" t="inlineStr">
        <is>
          <t>124x144 mm</t>
        </is>
      </c>
    </row>
    <row r="70">
      <c r="A70" t="inlineStr">
        <is>
          <t>AWRI-127-90</t>
        </is>
      </c>
      <c r="B70" t="inlineStr">
        <is>
          <t>AWRI-127-90</t>
        </is>
      </c>
      <c r="C70" t="inlineStr">
        <is>
          <t>AWRI-127</t>
        </is>
      </c>
      <c r="D70" t="inlineStr">
        <is>
          <t>file</t>
        </is>
      </c>
      <c r="E70" t="n">
        <v>14200</v>
      </c>
      <c r="F70" t="inlineStr">
        <is>
          <t>product list / AWRI selector</t>
        </is>
      </c>
      <c r="G70" t="n">
        <v>15604</v>
      </c>
      <c r="H70" t="n">
        <v>0</v>
      </c>
      <c r="I70" s="3" t="n">
        <v>14200</v>
      </c>
      <c r="J70">
        <f>IF(I70&gt;0,CEILING(I70*(1-Policy!$B$13/100),IF(I70&lt;10000,50,100)),"")</f>
        <v/>
      </c>
      <c r="K70">
        <f>IF(I70&gt;0,ROUNDUP(I70/Policy!$B$14*(1+Policy!$B$15/100),0),"")</f>
        <v/>
      </c>
      <c r="L70" t="n">
        <v>21</v>
      </c>
      <c r="M70" t="inlineStr">
        <is>
          <t>155x180 mm</t>
        </is>
      </c>
    </row>
    <row r="71">
      <c r="A71" t="inlineStr">
        <is>
          <t>AWRI-127-89</t>
        </is>
      </c>
      <c r="B71" t="inlineStr">
        <is>
          <t>AWRI-127-89</t>
        </is>
      </c>
      <c r="C71" t="inlineStr">
        <is>
          <t>AWRI-127</t>
        </is>
      </c>
      <c r="D71" t="inlineStr">
        <is>
          <t>file</t>
        </is>
      </c>
      <c r="E71" t="n">
        <v>13900</v>
      </c>
      <c r="F71" t="inlineStr">
        <is>
          <t>product list / AWRI selector</t>
        </is>
      </c>
      <c r="G71" t="n">
        <v>14966</v>
      </c>
      <c r="H71" t="n">
        <v>0</v>
      </c>
      <c r="I71" s="3" t="n">
        <v>13900</v>
      </c>
      <c r="J71">
        <f>IF(I71&gt;0,CEILING(I71*(1-Policy!$B$13/100),IF(I71&lt;10000,50,100)),"")</f>
        <v/>
      </c>
      <c r="K71">
        <f>IF(I71&gt;0,ROUNDUP(I71/Policy!$B$14*(1+Policy!$B$15/100),0),"")</f>
        <v/>
      </c>
      <c r="L71" t="n">
        <v>21</v>
      </c>
      <c r="M71" t="inlineStr">
        <is>
          <t>137x156 mm</t>
        </is>
      </c>
    </row>
    <row r="72">
      <c r="A72" t="inlineStr">
        <is>
          <t>AWRI-127-96</t>
        </is>
      </c>
      <c r="B72" t="inlineStr">
        <is>
          <t>AWRI-127-96</t>
        </is>
      </c>
      <c r="C72" t="inlineStr">
        <is>
          <t>AWRI-127</t>
        </is>
      </c>
      <c r="D72" t="inlineStr">
        <is>
          <t>file</t>
        </is>
      </c>
      <c r="E72" t="n">
        <v>14000</v>
      </c>
      <c r="F72" t="inlineStr">
        <is>
          <t>product list / AWRI selector</t>
        </is>
      </c>
      <c r="G72" t="n">
        <v>15604</v>
      </c>
      <c r="H72" t="n">
        <v>0</v>
      </c>
      <c r="I72" s="3" t="n">
        <v>14000</v>
      </c>
      <c r="J72">
        <f>IF(I72&gt;0,CEILING(I72*(1-Policy!$B$13/100),IF(I72&lt;10000,50,100)),"")</f>
        <v/>
      </c>
      <c r="K72">
        <f>IF(I72&gt;0,ROUNDUP(I72/Policy!$B$14*(1+Policy!$B$15/100),0),"")</f>
        <v/>
      </c>
      <c r="L72" t="n">
        <v>21</v>
      </c>
      <c r="M72" t="inlineStr">
        <is>
          <t>155x180 mm</t>
        </is>
      </c>
    </row>
    <row r="73">
      <c r="A73" t="inlineStr">
        <is>
          <t>AWRI-127-80</t>
        </is>
      </c>
      <c r="B73" t="inlineStr">
        <is>
          <t>AWRI-127-80</t>
        </is>
      </c>
      <c r="C73" t="inlineStr">
        <is>
          <t>AWRI-127</t>
        </is>
      </c>
      <c r="D73" t="inlineStr">
        <is>
          <t>file</t>
        </is>
      </c>
      <c r="E73" t="n">
        <v>13800</v>
      </c>
      <c r="F73" t="inlineStr">
        <is>
          <t>product list / AWRI selector</t>
        </is>
      </c>
      <c r="G73" t="n">
        <v>14551</v>
      </c>
      <c r="H73" t="n">
        <v>0</v>
      </c>
      <c r="I73" s="3" t="n">
        <v>13800</v>
      </c>
      <c r="J73">
        <f>IF(I73&gt;0,CEILING(I73*(1-Policy!$B$13/100),IF(I73&lt;10000,50,100)),"")</f>
        <v/>
      </c>
      <c r="K73">
        <f>IF(I73&gt;0,ROUNDUP(I73/Policy!$B$14*(1+Policy!$B$15/100),0),"")</f>
        <v/>
      </c>
      <c r="L73" t="n">
        <v>21</v>
      </c>
      <c r="M73" t="inlineStr">
        <is>
          <t>124x144 mm</t>
        </is>
      </c>
    </row>
    <row r="74">
      <c r="A74" t="inlineStr">
        <is>
          <t>AWRI-159-20</t>
        </is>
      </c>
      <c r="B74" t="inlineStr">
        <is>
          <t>AWRI-159-20</t>
        </is>
      </c>
      <c r="C74" t="inlineStr">
        <is>
          <t>AWRI-159</t>
        </is>
      </c>
      <c r="D74" t="inlineStr">
        <is>
          <t>file</t>
        </is>
      </c>
      <c r="E74" t="n">
        <v>16200</v>
      </c>
      <c r="F74" t="inlineStr">
        <is>
          <t>product list / AWRI selector</t>
        </is>
      </c>
      <c r="G74" t="n">
        <v>15756</v>
      </c>
      <c r="H74" t="n">
        <v>0</v>
      </c>
      <c r="I74" s="3" t="n">
        <v>16200</v>
      </c>
      <c r="J74">
        <f>IF(I74&gt;0,CEILING(I74*(1-Policy!$B$13/100),IF(I74&lt;10000,50,100)),"")</f>
        <v/>
      </c>
      <c r="K74">
        <f>IF(I74&gt;0,ROUNDUP(I74/Policy!$B$14*(1+Policy!$B$15/100),0),"")</f>
        <v/>
      </c>
      <c r="L74" t="n">
        <v>21</v>
      </c>
      <c r="M74" t="inlineStr">
        <is>
          <t>89x102 mm</t>
        </is>
      </c>
    </row>
    <row r="75">
      <c r="A75" t="inlineStr">
        <is>
          <t>AWRI-159-30</t>
        </is>
      </c>
      <c r="B75" t="inlineStr">
        <is>
          <t>AWRI-159-30</t>
        </is>
      </c>
      <c r="C75" t="inlineStr">
        <is>
          <t>AWRI-159</t>
        </is>
      </c>
      <c r="D75" t="inlineStr">
        <is>
          <t>file</t>
        </is>
      </c>
      <c r="E75" t="n">
        <v>16400</v>
      </c>
      <c r="F75" t="inlineStr">
        <is>
          <t>product list / AWRI selector</t>
        </is>
      </c>
      <c r="G75" t="n">
        <v>16258</v>
      </c>
      <c r="H75" t="n">
        <v>0</v>
      </c>
      <c r="I75" s="3" t="n">
        <v>16400</v>
      </c>
      <c r="J75">
        <f>IF(I75&gt;0,CEILING(I75*(1-Policy!$B$13/100),IF(I75&lt;10000,50,100)),"")</f>
        <v/>
      </c>
      <c r="K75">
        <f>IF(I75&gt;0,ROUNDUP(I75/Policy!$B$14*(1+Policy!$B$15/100),0),"")</f>
        <v/>
      </c>
      <c r="L75" t="n">
        <v>21</v>
      </c>
      <c r="M75" t="inlineStr">
        <is>
          <t>99x112 mm</t>
        </is>
      </c>
    </row>
    <row r="76">
      <c r="A76" t="inlineStr">
        <is>
          <t>AWRI-159-40</t>
        </is>
      </c>
      <c r="B76" t="inlineStr">
        <is>
          <t>AWRI-159-40</t>
        </is>
      </c>
      <c r="C76" t="inlineStr">
        <is>
          <t>AWRI-159</t>
        </is>
      </c>
      <c r="D76" t="inlineStr">
        <is>
          <t>file</t>
        </is>
      </c>
      <c r="E76" t="n">
        <v>16600</v>
      </c>
      <c r="F76" t="inlineStr">
        <is>
          <t>product list / AWRI selector</t>
        </is>
      </c>
      <c r="G76" t="n">
        <v>16533</v>
      </c>
      <c r="H76" t="n">
        <v>0</v>
      </c>
      <c r="I76" s="3" t="n">
        <v>16600</v>
      </c>
      <c r="J76">
        <f>IF(I76&gt;0,CEILING(I76*(1-Policy!$B$13/100),IF(I76&lt;10000,50,100)),"")</f>
        <v/>
      </c>
      <c r="K76">
        <f>IF(I76&gt;0,ROUNDUP(I76/Policy!$B$14*(1+Policy!$B$15/100),0),"")</f>
        <v/>
      </c>
      <c r="L76" t="n">
        <v>21</v>
      </c>
      <c r="M76" t="inlineStr">
        <is>
          <t>102x121 mm</t>
        </is>
      </c>
    </row>
    <row r="77">
      <c r="A77" t="inlineStr">
        <is>
          <t>AWRI-159-60</t>
        </is>
      </c>
      <c r="B77" t="inlineStr">
        <is>
          <t>AWRI-159-60</t>
        </is>
      </c>
      <c r="C77" t="inlineStr">
        <is>
          <t>AWRI-159</t>
        </is>
      </c>
      <c r="D77" t="inlineStr">
        <is>
          <t>file</t>
        </is>
      </c>
      <c r="E77" t="n">
        <v>16800</v>
      </c>
      <c r="F77" t="inlineStr">
        <is>
          <t>product list / AWRI selector</t>
        </is>
      </c>
      <c r="G77" t="n">
        <v>16994</v>
      </c>
      <c r="H77" t="n">
        <v>0</v>
      </c>
      <c r="I77" s="3" t="n">
        <v>16800</v>
      </c>
      <c r="J77">
        <f>IF(I77&gt;0,CEILING(I77*(1-Policy!$B$13/100),IF(I77&lt;10000,50,100)),"")</f>
        <v/>
      </c>
      <c r="K77">
        <f>IF(I77&gt;0,ROUNDUP(I77/Policy!$B$14*(1+Policy!$B$15/100),0),"")</f>
        <v/>
      </c>
      <c r="L77" t="n">
        <v>21</v>
      </c>
      <c r="M77" t="inlineStr">
        <is>
          <t>109x135 mm</t>
        </is>
      </c>
    </row>
    <row r="78">
      <c r="A78" t="inlineStr">
        <is>
          <t>AWRI-159-70</t>
        </is>
      </c>
      <c r="B78" t="inlineStr">
        <is>
          <t>AWRI-159-70</t>
        </is>
      </c>
      <c r="C78" t="inlineStr">
        <is>
          <t>AWRI-159</t>
        </is>
      </c>
      <c r="D78" t="inlineStr">
        <is>
          <t>file</t>
        </is>
      </c>
      <c r="E78" t="n">
        <v>17000</v>
      </c>
      <c r="F78" t="inlineStr">
        <is>
          <t>product list / AWRI selector</t>
        </is>
      </c>
      <c r="G78" t="n">
        <v>17552</v>
      </c>
      <c r="H78" t="n">
        <v>0</v>
      </c>
      <c r="I78" s="3" t="n">
        <v>17000</v>
      </c>
      <c r="J78">
        <f>IF(I78&gt;0,CEILING(I78*(1-Policy!$B$13/100),IF(I78&lt;10000,50,100)),"")</f>
        <v/>
      </c>
      <c r="K78">
        <f>IF(I78&gt;0,ROUNDUP(I78/Policy!$B$14*(1+Policy!$B$15/100),0),"")</f>
        <v/>
      </c>
      <c r="L78" t="n">
        <v>21</v>
      </c>
      <c r="M78" t="inlineStr">
        <is>
          <t>119x152 mm</t>
        </is>
      </c>
    </row>
    <row r="79">
      <c r="A79" t="inlineStr">
        <is>
          <t>AWRI-159-80</t>
        </is>
      </c>
      <c r="B79" t="inlineStr">
        <is>
          <t>AWRI-159-80</t>
        </is>
      </c>
      <c r="C79" t="inlineStr">
        <is>
          <t>AWRI-159</t>
        </is>
      </c>
      <c r="D79" t="inlineStr">
        <is>
          <t>file</t>
        </is>
      </c>
      <c r="E79" t="n">
        <v>17200</v>
      </c>
      <c r="F79" t="inlineStr">
        <is>
          <t>product list / AWRI selector</t>
        </is>
      </c>
      <c r="G79" t="n">
        <v>17961</v>
      </c>
      <c r="H79" t="n">
        <v>0</v>
      </c>
      <c r="I79" s="3" t="n">
        <v>17200</v>
      </c>
      <c r="J79">
        <f>IF(I79&gt;0,CEILING(I79*(1-Policy!$B$13/100),IF(I79&lt;10000,50,100)),"")</f>
        <v/>
      </c>
      <c r="K79">
        <f>IF(I79&gt;0,ROUNDUP(I79/Policy!$B$14*(1+Policy!$B$15/100),0),"")</f>
        <v/>
      </c>
      <c r="L79" t="n">
        <v>21</v>
      </c>
      <c r="M79" t="inlineStr">
        <is>
          <t>127x165 mm</t>
        </is>
      </c>
    </row>
    <row r="80">
      <c r="A80" t="inlineStr">
        <is>
          <t>AWRI-159-90</t>
        </is>
      </c>
      <c r="B80" t="inlineStr">
        <is>
          <t>AWRI-159-90</t>
        </is>
      </c>
      <c r="C80" t="inlineStr">
        <is>
          <t>AWRI-159</t>
        </is>
      </c>
      <c r="D80" t="inlineStr">
        <is>
          <t>file</t>
        </is>
      </c>
      <c r="E80" t="n">
        <v>19200</v>
      </c>
      <c r="F80" t="inlineStr">
        <is>
          <t>product list / AWRI selector</t>
        </is>
      </c>
      <c r="G80" t="n">
        <v>18351</v>
      </c>
      <c r="H80" t="n">
        <v>0</v>
      </c>
      <c r="I80" s="3" t="n">
        <v>19200</v>
      </c>
      <c r="J80">
        <f>IF(I80&gt;0,CEILING(I80*(1-Policy!$B$13/100),IF(I80&lt;10000,50,100)),"")</f>
        <v/>
      </c>
      <c r="K80">
        <f>IF(I80&gt;0,ROUNDUP(I80/Policy!$B$14*(1+Policy!$B$15/100),0),"")</f>
        <v/>
      </c>
      <c r="L80" t="n">
        <v>21</v>
      </c>
      <c r="M80" t="inlineStr">
        <is>
          <t>135x178 mm</t>
        </is>
      </c>
    </row>
    <row r="81">
      <c r="A81" t="inlineStr">
        <is>
          <t>AWRI-222-20</t>
        </is>
      </c>
      <c r="B81" t="inlineStr">
        <is>
          <t>AWRI-222-20</t>
        </is>
      </c>
      <c r="C81" t="inlineStr">
        <is>
          <t>AWRI-222</t>
        </is>
      </c>
      <c r="D81" t="inlineStr">
        <is>
          <t>file</t>
        </is>
      </c>
      <c r="E81" t="n">
        <v>26000</v>
      </c>
      <c r="F81" t="inlineStr">
        <is>
          <t>product list / AWRI selector</t>
        </is>
      </c>
      <c r="G81" t="n">
        <v>23226</v>
      </c>
      <c r="H81" t="n">
        <v>0</v>
      </c>
      <c r="I81" s="3" t="n">
        <v>26000</v>
      </c>
      <c r="J81">
        <f>IF(I81&gt;0,CEILING(I81*(1-Policy!$B$13/100),IF(I81&lt;10000,50,100)),"")</f>
        <v/>
      </c>
      <c r="K81">
        <f>IF(I81&gt;0,ROUNDUP(I81/Policy!$B$14*(1+Policy!$B$15/100),0),"")</f>
        <v/>
      </c>
      <c r="L81" t="n">
        <v>21</v>
      </c>
      <c r="M81" t="inlineStr">
        <is>
          <t>133x140 mm</t>
        </is>
      </c>
    </row>
    <row r="82">
      <c r="A82" t="inlineStr">
        <is>
          <t>AWRI-222-40</t>
        </is>
      </c>
      <c r="B82" t="inlineStr">
        <is>
          <t>AWRI-222-40</t>
        </is>
      </c>
      <c r="C82" t="inlineStr">
        <is>
          <t>AWRI-222</t>
        </is>
      </c>
      <c r="D82" t="inlineStr">
        <is>
          <t>file</t>
        </is>
      </c>
      <c r="E82" t="n">
        <v>26500</v>
      </c>
      <c r="F82" t="inlineStr">
        <is>
          <t>product list / AWRI selector</t>
        </is>
      </c>
      <c r="G82" t="n">
        <v>24334</v>
      </c>
      <c r="H82" t="n">
        <v>0</v>
      </c>
      <c r="I82" s="3" t="n">
        <v>26500</v>
      </c>
      <c r="J82">
        <f>IF(I82&gt;0,CEILING(I82*(1-Policy!$B$13/100),IF(I82&lt;10000,50,100)),"")</f>
        <v/>
      </c>
      <c r="K82">
        <f>IF(I82&gt;0,ROUNDUP(I82/Policy!$B$14*(1+Policy!$B$15/100),0),"")</f>
        <v/>
      </c>
      <c r="L82" t="n">
        <v>21</v>
      </c>
      <c r="M82" t="inlineStr">
        <is>
          <t>152x165 mm</t>
        </is>
      </c>
    </row>
    <row r="83">
      <c r="A83" t="inlineStr">
        <is>
          <t>AWRI-222-60</t>
        </is>
      </c>
      <c r="B83" t="inlineStr">
        <is>
          <t>AWRI-222-60</t>
        </is>
      </c>
      <c r="C83" t="inlineStr">
        <is>
          <t>AWRI-222</t>
        </is>
      </c>
      <c r="D83" t="inlineStr">
        <is>
          <t>file</t>
        </is>
      </c>
      <c r="E83" t="n">
        <v>27000</v>
      </c>
      <c r="F83" t="inlineStr">
        <is>
          <t>product list / AWRI selector</t>
        </is>
      </c>
      <c r="G83" t="n">
        <v>24733</v>
      </c>
      <c r="H83" t="n">
        <v>0</v>
      </c>
      <c r="I83" s="3" t="n">
        <v>27000</v>
      </c>
      <c r="J83">
        <f>IF(I83&gt;0,CEILING(I83*(1-Policy!$B$13/100),IF(I83&lt;10000,50,100)),"")</f>
        <v/>
      </c>
      <c r="K83">
        <f>IF(I83&gt;0,ROUNDUP(I83/Policy!$B$14*(1+Policy!$B$15/100),0),"")</f>
        <v/>
      </c>
      <c r="L83" t="n">
        <v>21</v>
      </c>
      <c r="M83" t="inlineStr">
        <is>
          <t>159x175 mm</t>
        </is>
      </c>
    </row>
    <row r="84">
      <c r="A84" t="inlineStr">
        <is>
          <t>AWRI-222-80</t>
        </is>
      </c>
      <c r="B84" t="inlineStr">
        <is>
          <t>AWRI-222-80</t>
        </is>
      </c>
      <c r="C84" t="inlineStr">
        <is>
          <t>AWRI-222</t>
        </is>
      </c>
      <c r="D84" t="inlineStr">
        <is>
          <t>file</t>
        </is>
      </c>
      <c r="E84" t="n">
        <v>27500</v>
      </c>
      <c r="F84" t="inlineStr">
        <is>
          <t>product list / AWRI selector</t>
        </is>
      </c>
      <c r="G84" t="n">
        <v>26191</v>
      </c>
      <c r="H84" t="n">
        <v>0</v>
      </c>
      <c r="I84" s="3" t="n">
        <v>27500</v>
      </c>
      <c r="J84">
        <f>IF(I84&gt;0,CEILING(I84*(1-Policy!$B$13/100),IF(I84&lt;10000,50,100)),"")</f>
        <v/>
      </c>
      <c r="K84">
        <f>IF(I84&gt;0,ROUNDUP(I84/Policy!$B$14*(1+Policy!$B$15/100),0),"")</f>
        <v/>
      </c>
      <c r="L84" t="n">
        <v>21</v>
      </c>
      <c r="M84" t="inlineStr">
        <is>
          <t>191x210 mm</t>
        </is>
      </c>
    </row>
    <row r="85">
      <c r="A85" t="inlineStr">
        <is>
          <t>AWRI-222-90</t>
        </is>
      </c>
      <c r="B85" t="inlineStr">
        <is>
          <t>AWRI-222-90</t>
        </is>
      </c>
      <c r="C85" t="inlineStr">
        <is>
          <t>AWRI-222</t>
        </is>
      </c>
      <c r="D85" t="inlineStr">
        <is>
          <t>file</t>
        </is>
      </c>
      <c r="E85" t="n">
        <v>36000</v>
      </c>
      <c r="F85" t="inlineStr">
        <is>
          <t>product list / AWRI selector</t>
        </is>
      </c>
      <c r="G85" t="n">
        <v>27174</v>
      </c>
      <c r="H85" t="n">
        <v>0</v>
      </c>
      <c r="I85" s="3" t="n">
        <v>36000</v>
      </c>
      <c r="J85">
        <f>IF(I85&gt;0,CEILING(I85*(1-Policy!$B$13/100),IF(I85&lt;10000,50,100)),"")</f>
        <v/>
      </c>
      <c r="K85">
        <f>IF(I85&gt;0,ROUNDUP(I85/Policy!$B$14*(1+Policy!$B$15/100),0),"")</f>
        <v/>
      </c>
      <c r="L85" t="n">
        <v>21</v>
      </c>
      <c r="M85" t="inlineStr">
        <is>
          <t>216x235 mm</t>
        </is>
      </c>
    </row>
    <row r="86">
      <c r="A86" t="inlineStr">
        <is>
          <t>AWRI-222-95</t>
        </is>
      </c>
      <c r="B86" t="inlineStr">
        <is>
          <t>AWRI-222-95</t>
        </is>
      </c>
      <c r="C86" t="inlineStr">
        <is>
          <t>AWRI-222</t>
        </is>
      </c>
      <c r="D86" t="inlineStr">
        <is>
          <t>file</t>
        </is>
      </c>
      <c r="E86" t="n">
        <v>28000</v>
      </c>
      <c r="F86" t="inlineStr">
        <is>
          <t>product list / AWRI selector</t>
        </is>
      </c>
      <c r="G86" t="n">
        <v>28023</v>
      </c>
      <c r="H86" t="n">
        <v>0</v>
      </c>
      <c r="I86" s="3" t="n">
        <v>28000</v>
      </c>
      <c r="J86">
        <f>IF(I86&gt;0,CEILING(I86*(1-Policy!$B$13/100),IF(I86&lt;10000,50,100)),"")</f>
        <v/>
      </c>
      <c r="K86">
        <f>IF(I86&gt;0,ROUNDUP(I86/Policy!$B$14*(1+Policy!$B$15/100),0),"")</f>
        <v/>
      </c>
      <c r="L86" t="n">
        <v>21</v>
      </c>
      <c r="M86" t="inlineStr">
        <is>
          <t>216x286 mm</t>
        </is>
      </c>
    </row>
    <row r="87">
      <c r="A87" t="inlineStr">
        <is>
          <t>AWRI-286-20</t>
        </is>
      </c>
      <c r="B87" t="inlineStr">
        <is>
          <t>AWRI-286-20</t>
        </is>
      </c>
      <c r="C87" t="inlineStr">
        <is>
          <t>AWRI-286</t>
        </is>
      </c>
      <c r="D87" t="inlineStr">
        <is>
          <t>file</t>
        </is>
      </c>
      <c r="E87" t="n">
        <v>35200</v>
      </c>
      <c r="F87" t="inlineStr">
        <is>
          <t>product list / AWRI selector</t>
        </is>
      </c>
      <c r="G87" t="n">
        <v>32069</v>
      </c>
      <c r="H87" t="n">
        <v>0</v>
      </c>
      <c r="I87" s="3" t="n">
        <v>35200</v>
      </c>
      <c r="J87">
        <f>IF(I87&gt;0,CEILING(I87*(1-Policy!$B$13/100),IF(I87&lt;10000,50,100)),"")</f>
        <v/>
      </c>
      <c r="K87">
        <f>IF(I87&gt;0,ROUNDUP(I87/Policy!$B$14*(1+Policy!$B$15/100),0),"")</f>
        <v/>
      </c>
      <c r="L87" t="n">
        <v>21</v>
      </c>
      <c r="M87" t="inlineStr">
        <is>
          <t>178x216 mm</t>
        </is>
      </c>
    </row>
    <row r="88">
      <c r="A88" t="inlineStr">
        <is>
          <t>AWRI-286-40</t>
        </is>
      </c>
      <c r="B88" t="inlineStr">
        <is>
          <t>AWRI-286-40</t>
        </is>
      </c>
      <c r="C88" t="inlineStr">
        <is>
          <t>AWRI-286</t>
        </is>
      </c>
      <c r="D88" t="inlineStr">
        <is>
          <t>file</t>
        </is>
      </c>
      <c r="E88" t="n">
        <v>36500</v>
      </c>
      <c r="F88" t="inlineStr">
        <is>
          <t>product list / AWRI selector</t>
        </is>
      </c>
      <c r="G88" t="n">
        <v>33627</v>
      </c>
      <c r="H88" t="n">
        <v>0</v>
      </c>
      <c r="I88" s="3" t="n">
        <v>36500</v>
      </c>
      <c r="J88">
        <f>IF(I88&gt;0,CEILING(I88*(1-Policy!$B$13/100),IF(I88&lt;10000,50,100)),"")</f>
        <v/>
      </c>
      <c r="K88">
        <f>IF(I88&gt;0,ROUNDUP(I88/Policy!$B$14*(1+Policy!$B$15/100),0),"")</f>
        <v/>
      </c>
      <c r="L88" t="n">
        <v>21</v>
      </c>
      <c r="M88" t="inlineStr">
        <is>
          <t>216x241 mm</t>
        </is>
      </c>
    </row>
    <row r="89">
      <c r="A89" t="inlineStr">
        <is>
          <t>AWRI-286-60</t>
        </is>
      </c>
      <c r="B89" t="inlineStr">
        <is>
          <t>AWRI-286-60</t>
        </is>
      </c>
      <c r="C89" t="inlineStr">
        <is>
          <t>AWRI-286</t>
        </is>
      </c>
      <c r="D89" t="inlineStr">
        <is>
          <t>file</t>
        </is>
      </c>
      <c r="E89" t="n">
        <v>38500</v>
      </c>
      <c r="F89" t="inlineStr">
        <is>
          <t>product list / AWRI selector</t>
        </is>
      </c>
      <c r="G89" t="n">
        <v>34481</v>
      </c>
      <c r="H89" t="n">
        <v>0</v>
      </c>
      <c r="I89" s="3" t="n">
        <v>38500</v>
      </c>
      <c r="J89">
        <f>IF(I89&gt;0,CEILING(I89*(1-Policy!$B$13/100),IF(I89&lt;10000,50,100)),"")</f>
        <v/>
      </c>
      <c r="K89">
        <f>IF(I89&gt;0,ROUNDUP(I89/Policy!$B$14*(1+Policy!$B$15/100),0),"")</f>
        <v/>
      </c>
      <c r="L89" t="n">
        <v>21</v>
      </c>
      <c r="M89" t="inlineStr">
        <is>
          <t>235x260 mm</t>
        </is>
      </c>
    </row>
    <row r="90">
      <c r="A90" t="inlineStr">
        <is>
          <t>AWRI-318-20</t>
        </is>
      </c>
      <c r="B90" t="inlineStr">
        <is>
          <t>AWRI-318-20</t>
        </is>
      </c>
      <c r="C90" t="inlineStr">
        <is>
          <t>AWRI-318</t>
        </is>
      </c>
      <c r="D90" t="inlineStr">
        <is>
          <t>file</t>
        </is>
      </c>
      <c r="E90" t="n">
        <v>54200</v>
      </c>
      <c r="F90" t="inlineStr">
        <is>
          <t>product list / AWRI selector</t>
        </is>
      </c>
      <c r="G90" t="n">
        <v>34850</v>
      </c>
      <c r="H90" t="n">
        <v>0</v>
      </c>
      <c r="I90" s="3" t="n">
        <v>54200</v>
      </c>
      <c r="J90">
        <f>IF(I90&gt;0,CEILING(I90*(1-Policy!$B$13/100),IF(I90&lt;10000,50,100)),"")</f>
        <v/>
      </c>
      <c r="K90">
        <f>IF(I90&gt;0,ROUNDUP(I90/Policy!$B$14*(1+Policy!$B$15/100),0),"")</f>
        <v/>
      </c>
      <c r="L90" t="n">
        <v>21</v>
      </c>
      <c r="M90" t="inlineStr">
        <is>
          <t>178x210 mm</t>
        </is>
      </c>
    </row>
    <row r="91">
      <c r="A91" t="inlineStr">
        <is>
          <t>AWRI-318-40</t>
        </is>
      </c>
      <c r="B91" t="inlineStr">
        <is>
          <t>AWRI-318-40</t>
        </is>
      </c>
      <c r="C91" t="inlineStr">
        <is>
          <t>AWRI-318</t>
        </is>
      </c>
      <c r="D91" t="inlineStr">
        <is>
          <t>file</t>
        </is>
      </c>
      <c r="E91" t="n">
        <v>58000</v>
      </c>
      <c r="F91" t="inlineStr">
        <is>
          <t>product list / AWRI selector</t>
        </is>
      </c>
      <c r="G91" t="n">
        <v>36869</v>
      </c>
      <c r="H91" t="n">
        <v>0</v>
      </c>
      <c r="I91" s="3" t="n">
        <v>58000</v>
      </c>
      <c r="J91">
        <f>IF(I91&gt;0,CEILING(I91*(1-Policy!$B$13/100),IF(I91&lt;10000,50,100)),"")</f>
        <v/>
      </c>
      <c r="K91">
        <f>IF(I91&gt;0,ROUNDUP(I91/Policy!$B$14*(1+Policy!$B$15/100),0),"")</f>
        <v/>
      </c>
      <c r="L91" t="n">
        <v>21</v>
      </c>
      <c r="M91" t="inlineStr">
        <is>
          <t>216x248 mm</t>
        </is>
      </c>
    </row>
    <row r="92">
      <c r="A92" t="inlineStr">
        <is>
          <t>ACWRI-12-10</t>
        </is>
      </c>
      <c r="B92" t="inlineStr">
        <is>
          <t>ACWRI-12-10</t>
        </is>
      </c>
      <c r="C92" t="inlineStr">
        <is>
          <t>ACWRI-12</t>
        </is>
      </c>
      <c r="D92" t="inlineStr">
        <is>
          <t>file</t>
        </is>
      </c>
      <c r="E92" t="n">
        <v>1150</v>
      </c>
      <c r="F92" t="inlineStr">
        <is>
          <t>product list / AWRI selector</t>
        </is>
      </c>
      <c r="G92" t="n">
        <v>941</v>
      </c>
      <c r="H92" t="n">
        <v>0</v>
      </c>
      <c r="I92" s="3" t="n">
        <v>1150</v>
      </c>
      <c r="J92">
        <f>IF(I92&gt;0,CEILING(I92*(1-Policy!$B$13/100),IF(I92&lt;10000,50,100)),"")</f>
        <v/>
      </c>
      <c r="K92">
        <f>IF(I92&gt;0,ROUNDUP(I92/Policy!$B$14*(1+Policy!$B$15/100),0),"")</f>
        <v/>
      </c>
      <c r="L92" t="n">
        <v>21</v>
      </c>
      <c r="M92" t="inlineStr">
        <is>
          <t>17x19 mm</t>
        </is>
      </c>
    </row>
    <row r="93">
      <c r="A93" t="inlineStr">
        <is>
          <t>ACWRI-12-20</t>
        </is>
      </c>
      <c r="B93" t="inlineStr">
        <is>
          <t>ACWRI-12-20</t>
        </is>
      </c>
      <c r="C93" t="inlineStr">
        <is>
          <t>ACWRI-12</t>
        </is>
      </c>
      <c r="D93" t="inlineStr">
        <is>
          <t>file</t>
        </is>
      </c>
      <c r="E93" t="n">
        <v>1200</v>
      </c>
      <c r="F93" t="inlineStr">
        <is>
          <t>product list / AWRI selector</t>
        </is>
      </c>
      <c r="G93" t="n">
        <v>965</v>
      </c>
      <c r="H93" t="n">
        <v>0</v>
      </c>
      <c r="I93" s="3" t="n">
        <v>1200</v>
      </c>
      <c r="J93">
        <f>IF(I93&gt;0,CEILING(I93*(1-Policy!$B$13/100),IF(I93&lt;10000,50,100)),"")</f>
        <v/>
      </c>
      <c r="K93">
        <f>IF(I93&gt;0,ROUNDUP(I93/Policy!$B$14*(1+Policy!$B$15/100),0),"")</f>
        <v/>
      </c>
      <c r="L93" t="n">
        <v>21</v>
      </c>
      <c r="M93" t="inlineStr">
        <is>
          <t>19x20 mm</t>
        </is>
      </c>
    </row>
    <row r="94">
      <c r="A94" t="inlineStr">
        <is>
          <t>ACWRI-12-30</t>
        </is>
      </c>
      <c r="B94" t="inlineStr">
        <is>
          <t>ACWRI-12-30</t>
        </is>
      </c>
      <c r="C94" t="inlineStr">
        <is>
          <t>ACWRI-12</t>
        </is>
      </c>
      <c r="D94" t="inlineStr">
        <is>
          <t>file</t>
        </is>
      </c>
      <c r="E94" t="n">
        <v>1250</v>
      </c>
      <c r="F94" t="inlineStr">
        <is>
          <t>product list / AWRI selector</t>
        </is>
      </c>
      <c r="G94" t="n">
        <v>1017</v>
      </c>
      <c r="H94" t="n">
        <v>0</v>
      </c>
      <c r="I94" s="3" t="n">
        <v>1250</v>
      </c>
      <c r="J94">
        <f>IF(I94&gt;0,CEILING(I94*(1-Policy!$B$13/100),IF(I94&lt;10000,50,100)),"")</f>
        <v/>
      </c>
      <c r="K94">
        <f>IF(I94&gt;0,ROUNDUP(I94/Policy!$B$14*(1+Policy!$B$15/100),0),"")</f>
        <v/>
      </c>
      <c r="L94" t="n">
        <v>21</v>
      </c>
      <c r="M94" t="inlineStr">
        <is>
          <t>23x23 mm</t>
        </is>
      </c>
    </row>
    <row r="95">
      <c r="A95" t="inlineStr">
        <is>
          <t>ACWRI-12-40</t>
        </is>
      </c>
      <c r="B95" t="inlineStr">
        <is>
          <t>ACWRI-12-40</t>
        </is>
      </c>
      <c r="C95" t="inlineStr">
        <is>
          <t>ACWRI-12</t>
        </is>
      </c>
      <c r="D95" t="inlineStr">
        <is>
          <t>file</t>
        </is>
      </c>
      <c r="E95" t="n">
        <v>1300</v>
      </c>
      <c r="F95" t="inlineStr">
        <is>
          <t>product list / AWRI selector</t>
        </is>
      </c>
      <c r="G95" t="n">
        <v>1056</v>
      </c>
      <c r="H95" t="n">
        <v>0</v>
      </c>
      <c r="I95" s="3" t="n">
        <v>1300</v>
      </c>
      <c r="J95">
        <f>IF(I95&gt;0,CEILING(I95*(1-Policy!$B$13/100),IF(I95&lt;10000,50,100)),"")</f>
        <v/>
      </c>
      <c r="K95">
        <f>IF(I95&gt;0,ROUNDUP(I95/Policy!$B$14*(1+Policy!$B$15/100),0),"")</f>
        <v/>
      </c>
      <c r="L95" t="n">
        <v>21</v>
      </c>
      <c r="M95" t="inlineStr">
        <is>
          <t>26x26 mm</t>
        </is>
      </c>
    </row>
    <row r="96">
      <c r="A96" t="inlineStr">
        <is>
          <t>ACWRI-16-10</t>
        </is>
      </c>
      <c r="B96" t="inlineStr">
        <is>
          <t>ACWRI-16-10</t>
        </is>
      </c>
      <c r="C96" t="inlineStr">
        <is>
          <t>ACWRI-16</t>
        </is>
      </c>
      <c r="D96" t="inlineStr">
        <is>
          <t>file</t>
        </is>
      </c>
      <c r="E96" t="n">
        <v>1450</v>
      </c>
      <c r="F96" t="inlineStr">
        <is>
          <t>product list / AWRI selector</t>
        </is>
      </c>
      <c r="G96" t="n">
        <v>1192</v>
      </c>
      <c r="H96" t="n">
        <v>0</v>
      </c>
      <c r="I96" s="3" t="n">
        <v>1450</v>
      </c>
      <c r="J96">
        <f>IF(I96&gt;0,CEILING(I96*(1-Policy!$B$13/100),IF(I96&lt;10000,50,100)),"")</f>
        <v/>
      </c>
      <c r="K96">
        <f>IF(I96&gt;0,ROUNDUP(I96/Policy!$B$14*(1+Policy!$B$15/100),0),"")</f>
        <v/>
      </c>
      <c r="L96" t="n">
        <v>21</v>
      </c>
      <c r="M96" t="inlineStr">
        <is>
          <t>16x20 mm</t>
        </is>
      </c>
    </row>
    <row r="97">
      <c r="A97" t="inlineStr">
        <is>
          <t>ACWRI-16-20</t>
        </is>
      </c>
      <c r="B97" t="inlineStr">
        <is>
          <t>ACWRI-16-20</t>
        </is>
      </c>
      <c r="C97" t="inlineStr">
        <is>
          <t>ACWRI-16</t>
        </is>
      </c>
      <c r="D97" t="inlineStr">
        <is>
          <t>file</t>
        </is>
      </c>
      <c r="E97" t="n">
        <v>1500</v>
      </c>
      <c r="F97" t="inlineStr">
        <is>
          <t>product list / AWRI selector</t>
        </is>
      </c>
      <c r="G97" t="n">
        <v>1234</v>
      </c>
      <c r="H97" t="n">
        <v>0</v>
      </c>
      <c r="I97" s="3" t="n">
        <v>1500</v>
      </c>
      <c r="J97">
        <f>IF(I97&gt;0,CEILING(I97*(1-Policy!$B$13/100),IF(I97&lt;10000,50,100)),"")</f>
        <v/>
      </c>
      <c r="K97">
        <f>IF(I97&gt;0,ROUNDUP(I97/Policy!$B$14*(1+Policy!$B$15/100),0),"")</f>
        <v/>
      </c>
      <c r="L97" t="n">
        <v>21</v>
      </c>
      <c r="M97" t="inlineStr">
        <is>
          <t>19x21 mm</t>
        </is>
      </c>
    </row>
    <row r="98">
      <c r="A98" t="inlineStr">
        <is>
          <t>ACWRI-16-30</t>
        </is>
      </c>
      <c r="B98" t="inlineStr">
        <is>
          <t>ACWRI-16-30</t>
        </is>
      </c>
      <c r="C98" t="inlineStr">
        <is>
          <t>ACWRI-16</t>
        </is>
      </c>
      <c r="D98" t="inlineStr">
        <is>
          <t>file</t>
        </is>
      </c>
      <c r="E98" t="n">
        <v>1600</v>
      </c>
      <c r="F98" t="inlineStr">
        <is>
          <t>product list / AWRI selector</t>
        </is>
      </c>
      <c r="G98" t="n">
        <v>1298</v>
      </c>
      <c r="H98" t="n">
        <v>0</v>
      </c>
      <c r="I98" s="3" t="n">
        <v>1600</v>
      </c>
      <c r="J98">
        <f>IF(I98&gt;0,CEILING(I98*(1-Policy!$B$13/100),IF(I98&lt;10000,50,100)),"")</f>
        <v/>
      </c>
      <c r="K98">
        <f>IF(I98&gt;0,ROUNDUP(I98/Policy!$B$14*(1+Policy!$B$15/100),0),"")</f>
        <v/>
      </c>
      <c r="L98" t="n">
        <v>21</v>
      </c>
      <c r="M98" t="inlineStr">
        <is>
          <t>23x24 mm</t>
        </is>
      </c>
    </row>
    <row r="99">
      <c r="A99" t="inlineStr">
        <is>
          <t>ACWRI-16-40</t>
        </is>
      </c>
      <c r="B99" t="inlineStr">
        <is>
          <t>ACWRI-16-40</t>
        </is>
      </c>
      <c r="C99" t="inlineStr">
        <is>
          <t>ACWRI-16</t>
        </is>
      </c>
      <c r="D99" t="inlineStr">
        <is>
          <t>file</t>
        </is>
      </c>
      <c r="E99" t="n">
        <v>1650</v>
      </c>
      <c r="F99" t="inlineStr">
        <is>
          <t>product list / AWRI selector</t>
        </is>
      </c>
      <c r="G99" t="n">
        <v>1356</v>
      </c>
      <c r="H99" t="n">
        <v>0</v>
      </c>
      <c r="I99" s="3" t="n">
        <v>1650</v>
      </c>
      <c r="J99">
        <f>IF(I99&gt;0,CEILING(I99*(1-Policy!$B$13/100),IF(I99&lt;10000,50,100)),"")</f>
        <v/>
      </c>
      <c r="K99">
        <f>IF(I99&gt;0,ROUNDUP(I99/Policy!$B$14*(1+Policy!$B$15/100),0),"")</f>
        <v/>
      </c>
      <c r="L99" t="n">
        <v>21</v>
      </c>
      <c r="M99" t="inlineStr">
        <is>
          <t>27x27 mm</t>
        </is>
      </c>
    </row>
    <row r="100">
      <c r="A100" t="inlineStr">
        <is>
          <t>ACWRI-24-10</t>
        </is>
      </c>
      <c r="B100" t="inlineStr">
        <is>
          <t>ACWRI-24-10</t>
        </is>
      </c>
      <c r="C100" t="inlineStr">
        <is>
          <t>ACWRI-24</t>
        </is>
      </c>
      <c r="D100" t="inlineStr">
        <is>
          <t>file</t>
        </is>
      </c>
      <c r="E100" t="n">
        <v>2100</v>
      </c>
      <c r="F100" t="inlineStr">
        <is>
          <t>product list / AWRI selector</t>
        </is>
      </c>
      <c r="G100" t="n">
        <v>1736</v>
      </c>
      <c r="H100" t="n">
        <v>0</v>
      </c>
      <c r="I100" s="3" t="n">
        <v>2100</v>
      </c>
      <c r="J100">
        <f>IF(I100&gt;0,CEILING(I100*(1-Policy!$B$13/100),IF(I100&lt;10000,50,100)),"")</f>
        <v/>
      </c>
      <c r="K100">
        <f>IF(I100&gt;0,ROUNDUP(I100/Policy!$B$14*(1+Policy!$B$15/100),0),"")</f>
        <v/>
      </c>
      <c r="L100" t="n">
        <v>21</v>
      </c>
      <c r="M100" t="inlineStr">
        <is>
          <t>19x22 mm</t>
        </is>
      </c>
    </row>
    <row r="101">
      <c r="A101" t="inlineStr">
        <is>
          <t>ACWRI-24-20</t>
        </is>
      </c>
      <c r="B101" t="inlineStr">
        <is>
          <t>ACWRI-24-20</t>
        </is>
      </c>
      <c r="C101" t="inlineStr">
        <is>
          <t>ACWRI-24</t>
        </is>
      </c>
      <c r="D101" t="inlineStr">
        <is>
          <t>file</t>
        </is>
      </c>
      <c r="E101" t="n">
        <v>2200</v>
      </c>
      <c r="F101" t="inlineStr">
        <is>
          <t>product list / AWRI selector</t>
        </is>
      </c>
      <c r="G101" t="n">
        <v>1814</v>
      </c>
      <c r="H101" t="n">
        <v>0</v>
      </c>
      <c r="I101" s="3" t="n">
        <v>2200</v>
      </c>
      <c r="J101">
        <f>IF(I101&gt;0,CEILING(I101*(1-Policy!$B$13/100),IF(I101&lt;10000,50,100)),"")</f>
        <v/>
      </c>
      <c r="K101">
        <f>IF(I101&gt;0,ROUNDUP(I101/Policy!$B$14*(1+Policy!$B$15/100),0),"")</f>
        <v/>
      </c>
      <c r="L101" t="n">
        <v>21</v>
      </c>
      <c r="M101" t="inlineStr">
        <is>
          <t>23x24 mm</t>
        </is>
      </c>
    </row>
    <row r="102">
      <c r="A102" t="inlineStr">
        <is>
          <t>ACWRI-24-30</t>
        </is>
      </c>
      <c r="B102" t="inlineStr">
        <is>
          <t>ACWRI-24-30</t>
        </is>
      </c>
      <c r="C102" t="inlineStr">
        <is>
          <t>ACWRI-24</t>
        </is>
      </c>
      <c r="D102" t="inlineStr">
        <is>
          <t>file</t>
        </is>
      </c>
      <c r="E102" t="n">
        <v>2300</v>
      </c>
      <c r="F102" t="inlineStr">
        <is>
          <t>product list / AWRI selector</t>
        </is>
      </c>
      <c r="G102" t="n">
        <v>1894</v>
      </c>
      <c r="H102" t="n">
        <v>0</v>
      </c>
      <c r="I102" s="3" t="n">
        <v>2300</v>
      </c>
      <c r="J102">
        <f>IF(I102&gt;0,CEILING(I102*(1-Policy!$B$13/100),IF(I102&lt;10000,50,100)),"")</f>
        <v/>
      </c>
      <c r="K102">
        <f>IF(I102&gt;0,ROUNDUP(I102/Policy!$B$14*(1+Policy!$B$15/100),0),"")</f>
        <v/>
      </c>
      <c r="L102" t="n">
        <v>21</v>
      </c>
      <c r="M102" t="inlineStr">
        <is>
          <t>27x27 mm</t>
        </is>
      </c>
    </row>
    <row r="103">
      <c r="A103" t="inlineStr">
        <is>
          <t>ACWRI-24-40</t>
        </is>
      </c>
      <c r="B103" t="inlineStr">
        <is>
          <t>ACWRI-24-40</t>
        </is>
      </c>
      <c r="C103" t="inlineStr">
        <is>
          <t>ACWRI-24</t>
        </is>
      </c>
      <c r="D103" t="inlineStr">
        <is>
          <t>file</t>
        </is>
      </c>
      <c r="E103" t="n">
        <v>2450</v>
      </c>
      <c r="F103" t="inlineStr">
        <is>
          <t>product list / AWRI selector</t>
        </is>
      </c>
      <c r="G103" t="n">
        <v>1987</v>
      </c>
      <c r="H103" t="n">
        <v>0</v>
      </c>
      <c r="I103" s="3" t="n">
        <v>2450</v>
      </c>
      <c r="J103">
        <f>IF(I103&gt;0,CEILING(I103*(1-Policy!$B$13/100),IF(I103&lt;10000,50,100)),"")</f>
        <v/>
      </c>
      <c r="K103">
        <f>IF(I103&gt;0,ROUNDUP(I103/Policy!$B$14*(1+Policy!$B$15/100),0),"")</f>
        <v/>
      </c>
      <c r="L103" t="n">
        <v>21</v>
      </c>
      <c r="M103" t="inlineStr">
        <is>
          <t>33x30 mm</t>
        </is>
      </c>
    </row>
    <row r="104">
      <c r="A104" t="inlineStr">
        <is>
          <t>ACWRI-32-10</t>
        </is>
      </c>
      <c r="B104" t="inlineStr">
        <is>
          <t>ACWRI-32-10</t>
        </is>
      </c>
      <c r="C104" t="inlineStr">
        <is>
          <t>ACWRI-32</t>
        </is>
      </c>
      <c r="D104" t="inlineStr">
        <is>
          <t>file</t>
        </is>
      </c>
      <c r="E104" t="n">
        <v>3450</v>
      </c>
      <c r="F104" t="inlineStr">
        <is>
          <t>product list / AWRI selector</t>
        </is>
      </c>
      <c r="G104" t="n">
        <v>2808</v>
      </c>
      <c r="H104" t="n">
        <v>0</v>
      </c>
      <c r="I104" s="3" t="n">
        <v>3450</v>
      </c>
      <c r="J104">
        <f>IF(I104&gt;0,CEILING(I104*(1-Policy!$B$13/100),IF(I104&lt;10000,50,100)),"")</f>
        <v/>
      </c>
      <c r="K104">
        <f>IF(I104&gt;0,ROUNDUP(I104/Policy!$B$14*(1+Policy!$B$15/100),0),"")</f>
        <v/>
      </c>
      <c r="L104" t="n">
        <v>21</v>
      </c>
      <c r="M104" t="inlineStr">
        <is>
          <t>42x47 mm</t>
        </is>
      </c>
    </row>
    <row r="105">
      <c r="A105" t="inlineStr">
        <is>
          <t>ACWRI-32-20</t>
        </is>
      </c>
      <c r="B105" t="inlineStr">
        <is>
          <t>ACWRI-32-20</t>
        </is>
      </c>
      <c r="C105" t="inlineStr">
        <is>
          <t>ACWRI-32</t>
        </is>
      </c>
      <c r="D105" t="inlineStr">
        <is>
          <t>file</t>
        </is>
      </c>
      <c r="E105" t="n">
        <v>3650</v>
      </c>
      <c r="F105" t="inlineStr">
        <is>
          <t>product list / AWRI selector</t>
        </is>
      </c>
      <c r="G105" t="n">
        <v>2976</v>
      </c>
      <c r="H105" t="n">
        <v>0</v>
      </c>
      <c r="I105" s="3" t="n">
        <v>3650</v>
      </c>
      <c r="J105">
        <f>IF(I105&gt;0,CEILING(I105*(1-Policy!$B$13/100),IF(I105&lt;10000,50,100)),"")</f>
        <v/>
      </c>
      <c r="K105">
        <f>IF(I105&gt;0,ROUNDUP(I105/Policy!$B$14*(1+Policy!$B$15/100),0),"")</f>
        <v/>
      </c>
      <c r="L105" t="n">
        <v>21</v>
      </c>
      <c r="M105" t="inlineStr">
        <is>
          <t>53x54 mm</t>
        </is>
      </c>
    </row>
    <row r="106">
      <c r="A106" t="inlineStr">
        <is>
          <t>ACWRI-32-30</t>
        </is>
      </c>
      <c r="B106" t="inlineStr">
        <is>
          <t>ACWRI-32-30</t>
        </is>
      </c>
      <c r="C106" t="inlineStr">
        <is>
          <t>ACWRI-32</t>
        </is>
      </c>
      <c r="D106" t="inlineStr">
        <is>
          <t>file</t>
        </is>
      </c>
      <c r="E106" t="n">
        <v>3750</v>
      </c>
      <c r="F106" t="inlineStr">
        <is>
          <t>product list / AWRI selector</t>
        </is>
      </c>
      <c r="G106" t="n">
        <v>3077</v>
      </c>
      <c r="H106" t="n">
        <v>0</v>
      </c>
      <c r="I106" s="3" t="n">
        <v>3750</v>
      </c>
      <c r="J106">
        <f>IF(I106&gt;0,CEILING(I106*(1-Policy!$B$13/100),IF(I106&lt;10000,50,100)),"")</f>
        <v/>
      </c>
      <c r="K106">
        <f>IF(I106&gt;0,ROUNDUP(I106/Policy!$B$14*(1+Policy!$B$15/100),0),"")</f>
        <v/>
      </c>
      <c r="L106" t="n">
        <v>21</v>
      </c>
      <c r="M106" t="inlineStr">
        <is>
          <t>60x59 mm</t>
        </is>
      </c>
    </row>
    <row r="107">
      <c r="A107" t="inlineStr">
        <is>
          <t>ACWRI-32-40</t>
        </is>
      </c>
      <c r="B107" t="inlineStr">
        <is>
          <t>ACWRI-32-40</t>
        </is>
      </c>
      <c r="C107" t="inlineStr">
        <is>
          <t>ACWRI-32</t>
        </is>
      </c>
      <c r="D107" t="inlineStr">
        <is>
          <t>file</t>
        </is>
      </c>
      <c r="E107" t="n">
        <v>4000</v>
      </c>
      <c r="F107" t="inlineStr">
        <is>
          <t>product list / AWRI selector</t>
        </is>
      </c>
      <c r="G107" t="n">
        <v>3258</v>
      </c>
      <c r="H107" t="n">
        <v>0</v>
      </c>
      <c r="I107" s="3" t="n">
        <v>4000</v>
      </c>
      <c r="J107">
        <f>IF(I107&gt;0,CEILING(I107*(1-Policy!$B$13/100),IF(I107&lt;10000,50,100)),"")</f>
        <v/>
      </c>
      <c r="K107">
        <f>IF(I107&gt;0,ROUNDUP(I107/Policy!$B$14*(1+Policy!$B$15/100),0),"")</f>
        <v/>
      </c>
      <c r="L107" t="n">
        <v>21</v>
      </c>
      <c r="M107" t="inlineStr">
        <is>
          <t>75x68 mm</t>
        </is>
      </c>
    </row>
    <row r="108">
      <c r="A108" t="inlineStr">
        <is>
          <t>ACWRI-40-10</t>
        </is>
      </c>
      <c r="B108" t="inlineStr">
        <is>
          <t>ACWRI-40-10</t>
        </is>
      </c>
      <c r="C108" t="inlineStr">
        <is>
          <t>ACWRI-40</t>
        </is>
      </c>
      <c r="D108" t="inlineStr">
        <is>
          <t>file</t>
        </is>
      </c>
      <c r="E108" t="n">
        <v>3700</v>
      </c>
      <c r="F108" t="inlineStr">
        <is>
          <t>product list / AWRI selector</t>
        </is>
      </c>
      <c r="G108" t="n">
        <v>3374</v>
      </c>
      <c r="H108" t="n">
        <v>0</v>
      </c>
      <c r="I108" s="3" t="n">
        <v>3700</v>
      </c>
      <c r="J108">
        <f>IF(I108&gt;0,CEILING(I108*(1-Policy!$B$13/100),IF(I108&lt;10000,50,100)),"")</f>
        <v/>
      </c>
      <c r="K108">
        <f>IF(I108&gt;0,ROUNDUP(I108/Policy!$B$14*(1+Policy!$B$15/100),0),"")</f>
        <v/>
      </c>
      <c r="L108" t="n">
        <v>21</v>
      </c>
      <c r="M108" t="inlineStr">
        <is>
          <t>41x48 mm</t>
        </is>
      </c>
    </row>
    <row r="109">
      <c r="A109" t="inlineStr">
        <is>
          <t>ACWRI-40-20</t>
        </is>
      </c>
      <c r="B109" t="inlineStr">
        <is>
          <t>ACWRI-40-20</t>
        </is>
      </c>
      <c r="C109" t="inlineStr">
        <is>
          <t>ACWRI-40</t>
        </is>
      </c>
      <c r="D109" t="inlineStr">
        <is>
          <t>file</t>
        </is>
      </c>
      <c r="E109" t="n">
        <v>4400</v>
      </c>
      <c r="F109" t="inlineStr">
        <is>
          <t>product list / AWRI selector</t>
        </is>
      </c>
      <c r="G109" t="n">
        <v>3578</v>
      </c>
      <c r="H109" t="n">
        <v>0</v>
      </c>
      <c r="I109" s="3" t="n">
        <v>4400</v>
      </c>
      <c r="J109">
        <f>IF(I109&gt;0,CEILING(I109*(1-Policy!$B$13/100),IF(I109&lt;10000,50,100)),"")</f>
        <v/>
      </c>
      <c r="K109">
        <f>IF(I109&gt;0,ROUNDUP(I109/Policy!$B$14*(1+Policy!$B$15/100),0),"")</f>
        <v/>
      </c>
      <c r="L109" t="n">
        <v>21</v>
      </c>
      <c r="M109" t="inlineStr">
        <is>
          <t>53x54 mm</t>
        </is>
      </c>
    </row>
    <row r="110">
      <c r="A110" t="inlineStr">
        <is>
          <t>ACWRI-40-30</t>
        </is>
      </c>
      <c r="B110" t="inlineStr">
        <is>
          <t>ACWRI-40-30</t>
        </is>
      </c>
      <c r="C110" t="inlineStr">
        <is>
          <t>ACWRI-40</t>
        </is>
      </c>
      <c r="D110" t="inlineStr">
        <is>
          <t>file</t>
        </is>
      </c>
      <c r="E110" t="n">
        <v>4550</v>
      </c>
      <c r="F110" t="inlineStr">
        <is>
          <t>product list / AWRI selector</t>
        </is>
      </c>
      <c r="G110" t="n">
        <v>3699</v>
      </c>
      <c r="H110" t="n">
        <v>0</v>
      </c>
      <c r="I110" s="3" t="n">
        <v>4550</v>
      </c>
      <c r="J110">
        <f>IF(I110&gt;0,CEILING(I110*(1-Policy!$B$13/100),IF(I110&lt;10000,50,100)),"")</f>
        <v/>
      </c>
      <c r="K110">
        <f>IF(I110&gt;0,ROUNDUP(I110/Policy!$B$14*(1+Policy!$B$15/100),0),"")</f>
        <v/>
      </c>
      <c r="L110" t="n">
        <v>21</v>
      </c>
      <c r="M110" t="inlineStr">
        <is>
          <t>60x59 mm</t>
        </is>
      </c>
    </row>
    <row r="111">
      <c r="A111" t="inlineStr">
        <is>
          <t>ACWRI-40-40</t>
        </is>
      </c>
      <c r="B111" t="inlineStr">
        <is>
          <t>ACWRI-40-40</t>
        </is>
      </c>
      <c r="C111" t="inlineStr">
        <is>
          <t>ACWRI-40</t>
        </is>
      </c>
      <c r="D111" t="inlineStr">
        <is>
          <t>file</t>
        </is>
      </c>
      <c r="E111" t="n">
        <v>4800</v>
      </c>
      <c r="F111" t="inlineStr">
        <is>
          <t>product list / AWRI selector</t>
        </is>
      </c>
      <c r="G111" t="n">
        <v>3916</v>
      </c>
      <c r="H111" t="n">
        <v>0</v>
      </c>
      <c r="I111" s="3" t="n">
        <v>4800</v>
      </c>
      <c r="J111">
        <f>IF(I111&gt;0,CEILING(I111*(1-Policy!$B$13/100),IF(I111&lt;10000,50,100)),"")</f>
        <v/>
      </c>
      <c r="K111">
        <f>IF(I111&gt;0,ROUNDUP(I111/Policy!$B$14*(1+Policy!$B$15/100),0),"")</f>
        <v/>
      </c>
      <c r="L111" t="n">
        <v>21</v>
      </c>
      <c r="M111" t="inlineStr">
        <is>
          <t>76x67 mm</t>
        </is>
      </c>
    </row>
    <row r="112">
      <c r="A112" t="inlineStr">
        <is>
          <t>ACWRI-48-10</t>
        </is>
      </c>
      <c r="B112" t="inlineStr">
        <is>
          <t>ACWRI-48-10</t>
        </is>
      </c>
      <c r="C112" t="inlineStr">
        <is>
          <t>ACWRI-48</t>
        </is>
      </c>
      <c r="D112" t="inlineStr">
        <is>
          <t>file</t>
        </is>
      </c>
      <c r="E112" t="n">
        <v>5000</v>
      </c>
      <c r="F112" t="inlineStr">
        <is>
          <t>product list / AWRI selector</t>
        </is>
      </c>
      <c r="G112" t="n">
        <v>4081</v>
      </c>
      <c r="H112" t="n">
        <v>0</v>
      </c>
      <c r="I112" s="3" t="n">
        <v>5000</v>
      </c>
      <c r="J112">
        <f>IF(I112&gt;0,CEILING(I112*(1-Policy!$B$13/100),IF(I112&lt;10000,50,100)),"")</f>
        <v/>
      </c>
      <c r="K112">
        <f>IF(I112&gt;0,ROUNDUP(I112/Policy!$B$14*(1+Policy!$B$15/100),0),"")</f>
        <v/>
      </c>
      <c r="L112" t="n">
        <v>21</v>
      </c>
      <c r="M112" t="inlineStr">
        <is>
          <t>47x54 mm</t>
        </is>
      </c>
    </row>
    <row r="113">
      <c r="A113" t="inlineStr">
        <is>
          <t>ACWRI-48-20</t>
        </is>
      </c>
      <c r="B113" t="inlineStr">
        <is>
          <t>ACWRI-48-20</t>
        </is>
      </c>
      <c r="C113" t="inlineStr">
        <is>
          <t>ACWRI-48</t>
        </is>
      </c>
      <c r="D113" t="inlineStr">
        <is>
          <t>file</t>
        </is>
      </c>
      <c r="E113" t="n">
        <v>5200</v>
      </c>
      <c r="F113" t="inlineStr">
        <is>
          <t>product list / AWRI selector</t>
        </is>
      </c>
      <c r="G113" t="n">
        <v>4242</v>
      </c>
      <c r="H113" t="n">
        <v>0</v>
      </c>
      <c r="I113" s="3" t="n">
        <v>5200</v>
      </c>
      <c r="J113">
        <f>IF(I113&gt;0,CEILING(I113*(1-Policy!$B$13/100),IF(I113&lt;10000,50,100)),"")</f>
        <v/>
      </c>
      <c r="K113">
        <f>IF(I113&gt;0,ROUNDUP(I113/Policy!$B$14*(1+Policy!$B$15/100),0),"")</f>
        <v/>
      </c>
      <c r="L113" t="n">
        <v>21</v>
      </c>
      <c r="M113" t="inlineStr">
        <is>
          <t>55x59 mm</t>
        </is>
      </c>
    </row>
    <row r="114">
      <c r="A114" t="inlineStr">
        <is>
          <t>ACWRI-48-30</t>
        </is>
      </c>
      <c r="B114" t="inlineStr">
        <is>
          <t>ACWRI-48-30</t>
        </is>
      </c>
      <c r="C114" t="inlineStr">
        <is>
          <t>ACWRI-48</t>
        </is>
      </c>
      <c r="D114" t="inlineStr">
        <is>
          <t>file</t>
        </is>
      </c>
      <c r="E114" t="n">
        <v>5400</v>
      </c>
      <c r="F114" t="inlineStr">
        <is>
          <t>product list / AWRI selector</t>
        </is>
      </c>
      <c r="G114" t="n">
        <v>4399</v>
      </c>
      <c r="H114" t="n">
        <v>0</v>
      </c>
      <c r="I114" s="3" t="n">
        <v>5400</v>
      </c>
      <c r="J114">
        <f>IF(I114&gt;0,CEILING(I114*(1-Policy!$B$13/100),IF(I114&lt;10000,50,100)),"")</f>
        <v/>
      </c>
      <c r="K114">
        <f>IF(I114&gt;0,ROUNDUP(I114/Policy!$B$14*(1+Policy!$B$15/100),0),"")</f>
        <v/>
      </c>
      <c r="L114" t="n">
        <v>21</v>
      </c>
      <c r="M114" t="inlineStr">
        <is>
          <t>64x64 mm</t>
        </is>
      </c>
    </row>
    <row r="115">
      <c r="A115" t="inlineStr">
        <is>
          <t>ACWRI-48-40</t>
        </is>
      </c>
      <c r="B115" t="inlineStr">
        <is>
          <t>ACWRI-48-40</t>
        </is>
      </c>
      <c r="C115" t="inlineStr">
        <is>
          <t>ACWRI-48</t>
        </is>
      </c>
      <c r="D115" t="inlineStr">
        <is>
          <t>file</t>
        </is>
      </c>
      <c r="E115" t="n">
        <v>5700</v>
      </c>
      <c r="F115" t="inlineStr">
        <is>
          <t>product list / AWRI selector</t>
        </is>
      </c>
      <c r="G115" t="n">
        <v>4641</v>
      </c>
      <c r="H115" t="n">
        <v>0</v>
      </c>
      <c r="I115" s="3" t="n">
        <v>5700</v>
      </c>
      <c r="J115">
        <f>IF(I115&gt;0,CEILING(I115*(1-Policy!$B$13/100),IF(I115&lt;10000,50,100)),"")</f>
        <v/>
      </c>
      <c r="K115">
        <f>IF(I115&gt;0,ROUNDUP(I115/Policy!$B$14*(1+Policy!$B$15/100),0),"")</f>
        <v/>
      </c>
      <c r="L115" t="n">
        <v>21</v>
      </c>
      <c r="M115" t="inlineStr">
        <is>
          <t>79x73 mm</t>
        </is>
      </c>
    </row>
  </sheetData>
  <autoFilter ref="A1:M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8" customWidth="1" min="4" max="4"/>
    <col width="11" customWidth="1" min="5" max="5"/>
    <col width="26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8" customWidth="1" min="12" max="12"/>
    <col width="60" customWidth="1" min="13" max="13"/>
  </cols>
  <sheetData>
    <row r="1">
      <c r="A1" s="5" t="inlineStr">
        <is>
          <t>key</t>
        </is>
      </c>
      <c r="B1" s="5" t="inlineStr">
        <is>
          <t>model</t>
        </is>
      </c>
      <c r="C1" s="5" t="inlineStr">
        <is>
          <t>series</t>
        </is>
      </c>
      <c r="D1" s="5" t="inlineStr">
        <is>
          <t>basis</t>
        </is>
      </c>
      <c r="E1" s="5" t="inlineStr">
        <is>
          <t>file_price</t>
        </is>
      </c>
      <c r="F1" s="5" t="inlineStr">
        <is>
          <t>file_source</t>
        </is>
      </c>
      <c r="G1" s="5" t="inlineStr">
        <is>
          <t>estimate</t>
        </is>
      </c>
      <c r="H1" s="5" t="inlineStr">
        <is>
          <t>margin_pct</t>
        </is>
      </c>
      <c r="I1" s="5" t="inlineStr">
        <is>
          <t>list_inr</t>
        </is>
      </c>
      <c r="J1" s="5" t="inlineStr">
        <is>
          <t>dealer_inr</t>
        </is>
      </c>
      <c r="K1" s="5" t="inlineStr">
        <is>
          <t>usd_indicative</t>
        </is>
      </c>
      <c r="L1" s="5" t="inlineStr">
        <is>
          <t>lead_time_days</t>
        </is>
      </c>
      <c r="M1" s="5" t="inlineStr">
        <is>
          <t>note</t>
        </is>
      </c>
    </row>
    <row r="2">
      <c r="A2" t="inlineStr">
        <is>
          <t>FF</t>
        </is>
      </c>
      <c r="B2" t="inlineStr">
        <is>
          <t>0</t>
        </is>
      </c>
      <c r="C2" t="inlineStr">
        <is>
          <t>accessory</t>
        </is>
      </c>
      <c r="D2" t="inlineStr">
        <is>
          <t>model</t>
        </is>
      </c>
      <c r="G2" s="6" t="n">
        <v>1200</v>
      </c>
      <c r="H2" t="n">
        <v>25</v>
      </c>
      <c r="I2" s="3" t="n">
        <v>1500</v>
      </c>
      <c r="J2">
        <f>IF(I2&gt;0,CEILING(I2*(1-Policy!$B$13/100),IF(I2&lt;10000,50,100)),"")</f>
        <v/>
      </c>
      <c r="K2">
        <f>IF(I2&gt;0,ROUNDUP(I2/Policy!$B$14*(1+Policy!$B$15/100),0),"")</f>
        <v/>
      </c>
      <c r="L2" t="n">
        <v>14</v>
      </c>
      <c r="M2" t="inlineStr">
        <is>
          <t>typical size AC-25..AC-64; SS and reconditioning quoted case by case; NC free</t>
        </is>
      </c>
    </row>
    <row r="3">
      <c r="A3" t="inlineStr">
        <is>
          <t>RF</t>
        </is>
      </c>
      <c r="B3" t="inlineStr">
        <is>
          <t>1</t>
        </is>
      </c>
      <c r="C3" t="inlineStr">
        <is>
          <t>accessory</t>
        </is>
      </c>
      <c r="D3" t="inlineStr">
        <is>
          <t>model</t>
        </is>
      </c>
      <c r="G3" s="6" t="n">
        <v>1200</v>
      </c>
      <c r="H3" t="n">
        <v>25</v>
      </c>
      <c r="I3" s="3" t="n">
        <v>1500</v>
      </c>
      <c r="J3">
        <f>IF(I3&gt;0,CEILING(I3*(1-Policy!$B$13/100),IF(I3&lt;10000,50,100)),"")</f>
        <v/>
      </c>
      <c r="K3">
        <f>IF(I3&gt;0,ROUNDUP(I3/Policy!$B$14*(1+Policy!$B$15/100),0),"")</f>
        <v/>
      </c>
      <c r="L3" t="n">
        <v>14</v>
      </c>
      <c r="M3" t="inlineStr">
        <is>
          <t>typical size AC-25..AC-64; SS and reconditioning quoted case by case; NC free</t>
        </is>
      </c>
    </row>
    <row r="4">
      <c r="A4" t="inlineStr">
        <is>
          <t>FRF</t>
        </is>
      </c>
      <c r="B4" t="inlineStr">
        <is>
          <t>2</t>
        </is>
      </c>
      <c r="C4" t="inlineStr">
        <is>
          <t>accessory</t>
        </is>
      </c>
      <c r="D4" t="inlineStr">
        <is>
          <t>model</t>
        </is>
      </c>
      <c r="G4" s="6" t="n">
        <v>2200</v>
      </c>
      <c r="H4" t="n">
        <v>25</v>
      </c>
      <c r="I4" s="3" t="n">
        <v>2750</v>
      </c>
      <c r="J4">
        <f>IF(I4&gt;0,CEILING(I4*(1-Policy!$B$13/100),IF(I4&lt;10000,50,100)),"")</f>
        <v/>
      </c>
      <c r="K4">
        <f>IF(I4&gt;0,ROUNDUP(I4/Policy!$B$14*(1+Policy!$B$15/100),0),"")</f>
        <v/>
      </c>
      <c r="L4" t="n">
        <v>14</v>
      </c>
      <c r="M4" t="inlineStr">
        <is>
          <t>typical size AC-25..AC-64; SS and reconditioning quoted case by case; NC free</t>
        </is>
      </c>
    </row>
    <row r="5">
      <c r="A5" t="inlineStr">
        <is>
          <t>FM</t>
        </is>
      </c>
      <c r="B5" t="inlineStr">
        <is>
          <t>3</t>
        </is>
      </c>
      <c r="C5" t="inlineStr">
        <is>
          <t>accessory</t>
        </is>
      </c>
      <c r="D5" t="inlineStr">
        <is>
          <t>model</t>
        </is>
      </c>
      <c r="G5" s="6" t="n">
        <v>1500</v>
      </c>
      <c r="H5" t="n">
        <v>25</v>
      </c>
      <c r="I5" s="3" t="n">
        <v>1900</v>
      </c>
      <c r="J5">
        <f>IF(I5&gt;0,CEILING(I5*(1-Policy!$B$13/100),IF(I5&lt;10000,50,100)),"")</f>
        <v/>
      </c>
      <c r="K5">
        <f>IF(I5&gt;0,ROUNDUP(I5/Policy!$B$14*(1+Policy!$B$15/100),0),"")</f>
        <v/>
      </c>
      <c r="L5" t="n">
        <v>14</v>
      </c>
      <c r="M5" t="inlineStr">
        <is>
          <t>typical size AC-25..AC-64; SS and reconditioning quoted case by case; NC free</t>
        </is>
      </c>
    </row>
    <row r="6">
      <c r="A6" t="inlineStr">
        <is>
          <t>RFFF</t>
        </is>
      </c>
      <c r="B6" t="inlineStr">
        <is>
          <t>4</t>
        </is>
      </c>
      <c r="C6" t="inlineStr">
        <is>
          <t>accessory</t>
        </is>
      </c>
      <c r="D6" t="inlineStr">
        <is>
          <t>model</t>
        </is>
      </c>
      <c r="G6" s="6" t="n">
        <v>2600</v>
      </c>
      <c r="H6" t="n">
        <v>25</v>
      </c>
      <c r="I6" s="3" t="n">
        <v>3250</v>
      </c>
      <c r="J6">
        <f>IF(I6&gt;0,CEILING(I6*(1-Policy!$B$13/100),IF(I6&lt;10000,50,100)),"")</f>
        <v/>
      </c>
      <c r="K6">
        <f>IF(I6&gt;0,ROUNDUP(I6/Policy!$B$14*(1+Policy!$B$15/100),0),"")</f>
        <v/>
      </c>
      <c r="L6" t="n">
        <v>14</v>
      </c>
      <c r="M6" t="inlineStr">
        <is>
          <t>typical size AC-25..AC-64; SS and reconditioning quoted case by case; NC free</t>
        </is>
      </c>
    </row>
    <row r="7">
      <c r="A7" t="inlineStr">
        <is>
          <t>CM</t>
        </is>
      </c>
      <c r="B7" t="inlineStr">
        <is>
          <t>5</t>
        </is>
      </c>
      <c r="C7" t="inlineStr">
        <is>
          <t>accessory</t>
        </is>
      </c>
      <c r="D7" t="inlineStr">
        <is>
          <t>model</t>
        </is>
      </c>
      <c r="G7" s="6" t="n">
        <v>1800</v>
      </c>
      <c r="H7" t="n">
        <v>25</v>
      </c>
      <c r="I7" s="3" t="n">
        <v>2250</v>
      </c>
      <c r="J7">
        <f>IF(I7&gt;0,CEILING(I7*(1-Policy!$B$13/100),IF(I7&lt;10000,50,100)),"")</f>
        <v/>
      </c>
      <c r="K7">
        <f>IF(I7&gt;0,ROUNDUP(I7/Policy!$B$14*(1+Policy!$B$15/100),0),"")</f>
        <v/>
      </c>
      <c r="L7" t="n">
        <v>14</v>
      </c>
      <c r="M7" t="inlineStr">
        <is>
          <t>typical size AC-25..AC-64; SS and reconditioning quoted case by case; NC free</t>
        </is>
      </c>
    </row>
    <row r="8">
      <c r="A8" t="inlineStr">
        <is>
          <t>SC</t>
        </is>
      </c>
      <c r="B8" t="inlineStr">
        <is>
          <t>6</t>
        </is>
      </c>
      <c r="C8" t="inlineStr">
        <is>
          <t>accessory</t>
        </is>
      </c>
      <c r="D8" t="inlineStr">
        <is>
          <t>model</t>
        </is>
      </c>
      <c r="G8" s="6" t="n">
        <v>450</v>
      </c>
      <c r="H8" t="n">
        <v>25</v>
      </c>
      <c r="I8" s="3" t="n">
        <v>600</v>
      </c>
      <c r="J8">
        <f>IF(I8&gt;0,CEILING(I8*(1-Policy!$B$13/100),IF(I8&lt;10000,50,100)),"")</f>
        <v/>
      </c>
      <c r="K8">
        <f>IF(I8&gt;0,ROUNDUP(I8/Policy!$B$14*(1+Policy!$B$15/100),0),"")</f>
        <v/>
      </c>
      <c r="L8" t="n">
        <v>14</v>
      </c>
      <c r="M8" t="inlineStr">
        <is>
          <t>typical size AC-25..AC-64; SS and reconditioning quoted case by case; NC free</t>
        </is>
      </c>
    </row>
    <row r="9">
      <c r="A9" t="inlineStr">
        <is>
          <t>SLA</t>
        </is>
      </c>
      <c r="B9" t="inlineStr">
        <is>
          <t>7</t>
        </is>
      </c>
      <c r="C9" t="inlineStr">
        <is>
          <t>accessory</t>
        </is>
      </c>
      <c r="D9" t="inlineStr">
        <is>
          <t>model</t>
        </is>
      </c>
      <c r="G9" s="6" t="n">
        <v>2400</v>
      </c>
      <c r="H9" t="n">
        <v>25</v>
      </c>
      <c r="I9" s="3" t="n">
        <v>3000</v>
      </c>
      <c r="J9">
        <f>IF(I9&gt;0,CEILING(I9*(1-Policy!$B$13/100),IF(I9&lt;10000,50,100)),"")</f>
        <v/>
      </c>
      <c r="K9">
        <f>IF(I9&gt;0,ROUNDUP(I9/Policy!$B$14*(1+Policy!$B$15/100),0),"")</f>
        <v/>
      </c>
      <c r="L9" t="n">
        <v>14</v>
      </c>
      <c r="M9" t="inlineStr">
        <is>
          <t>typical size AC-25..AC-64; SS and reconditioning quoted case by case; NC free</t>
        </is>
      </c>
    </row>
    <row r="10">
      <c r="A10" t="inlineStr">
        <is>
          <t>BEL</t>
        </is>
      </c>
      <c r="B10" t="inlineStr">
        <is>
          <t>8</t>
        </is>
      </c>
      <c r="C10" t="inlineStr">
        <is>
          <t>accessory</t>
        </is>
      </c>
      <c r="D10" t="inlineStr">
        <is>
          <t>model</t>
        </is>
      </c>
      <c r="G10" s="6" t="n">
        <v>900</v>
      </c>
      <c r="H10" t="n">
        <v>25</v>
      </c>
      <c r="I10" s="3" t="n">
        <v>1150</v>
      </c>
      <c r="J10">
        <f>IF(I10&gt;0,CEILING(I10*(1-Policy!$B$13/100),IF(I10&lt;10000,50,100)),"")</f>
        <v/>
      </c>
      <c r="K10">
        <f>IF(I10&gt;0,ROUNDUP(I10/Policy!$B$14*(1+Policy!$B$15/100),0),"")</f>
        <v/>
      </c>
      <c r="L10" t="n">
        <v>14</v>
      </c>
      <c r="M10" t="inlineStr">
        <is>
          <t>typical size AC-25..AC-64; SS and reconditioning quoted case by case; NC free</t>
        </is>
      </c>
    </row>
    <row r="11">
      <c r="A11" t="inlineStr">
        <is>
          <t>LN</t>
        </is>
      </c>
      <c r="B11" t="inlineStr">
        <is>
          <t>9</t>
        </is>
      </c>
      <c r="C11" t="inlineStr">
        <is>
          <t>accessory</t>
        </is>
      </c>
      <c r="D11" t="inlineStr">
        <is>
          <t>model</t>
        </is>
      </c>
      <c r="G11" s="6" t="n">
        <v>250</v>
      </c>
      <c r="H11" t="n">
        <v>25</v>
      </c>
      <c r="I11" s="3" t="n">
        <v>350</v>
      </c>
      <c r="J11">
        <f>IF(I11&gt;0,CEILING(I11*(1-Policy!$B$13/100),IF(I11&lt;10000,50,100)),"")</f>
        <v/>
      </c>
      <c r="K11">
        <f>IF(I11&gt;0,ROUNDUP(I11/Policy!$B$14*(1+Policy!$B$15/100),0),"")</f>
        <v/>
      </c>
      <c r="L11" t="n">
        <v>14</v>
      </c>
      <c r="M11" t="inlineStr">
        <is>
          <t>typical size AC-25..AC-64; SS and reconditioning quoted case by case; NC free</t>
        </is>
      </c>
    </row>
    <row r="12">
      <c r="A12" t="inlineStr">
        <is>
          <t>NC</t>
        </is>
      </c>
      <c r="B12" t="inlineStr">
        <is>
          <t>10</t>
        </is>
      </c>
      <c r="C12" t="inlineStr">
        <is>
          <t>accessory</t>
        </is>
      </c>
      <c r="D12" t="inlineStr">
        <is>
          <t>on request</t>
        </is>
      </c>
      <c r="G12" s="6" t="n">
        <v>0</v>
      </c>
      <c r="H12" t="n">
        <v>0</v>
      </c>
      <c r="I12" s="3" t="n">
        <v>0</v>
      </c>
      <c r="J12">
        <f>IF(I12&gt;0,CEILING(I12*(1-Policy!$B$13/100),IF(I12&lt;10000,50,100)),"")</f>
        <v/>
      </c>
      <c r="K12">
        <f>IF(I12&gt;0,ROUNDUP(I12/Policy!$B$14*(1+Policy!$B$15/100),0),"")</f>
        <v/>
      </c>
      <c r="L12" t="n">
        <v>14</v>
      </c>
      <c r="M12" t="inlineStr">
        <is>
          <t>typical size AC-25..AC-64; SS and reconditioning quoted case by case; NC free</t>
        </is>
      </c>
    </row>
    <row r="13">
      <c r="A13" t="inlineStr">
        <is>
          <t>PU</t>
        </is>
      </c>
      <c r="B13" t="inlineStr">
        <is>
          <t>11</t>
        </is>
      </c>
      <c r="C13" t="inlineStr">
        <is>
          <t>accessory</t>
        </is>
      </c>
      <c r="D13" t="inlineStr">
        <is>
          <t>model</t>
        </is>
      </c>
      <c r="G13" s="6" t="n">
        <v>350</v>
      </c>
      <c r="H13" t="n">
        <v>25</v>
      </c>
      <c r="I13" s="3" t="n">
        <v>450</v>
      </c>
      <c r="J13">
        <f>IF(I13&gt;0,CEILING(I13*(1-Policy!$B$13/100),IF(I13&lt;10000,50,100)),"")</f>
        <v/>
      </c>
      <c r="K13">
        <f>IF(I13&gt;0,ROUNDUP(I13/Policy!$B$14*(1+Policy!$B$15/100),0),"")</f>
        <v/>
      </c>
      <c r="L13" t="n">
        <v>14</v>
      </c>
      <c r="M13" t="inlineStr">
        <is>
          <t>typical size AC-25..AC-64; SS and reconditioning quoted case by case; NC free</t>
        </is>
      </c>
    </row>
    <row r="14">
      <c r="A14" t="inlineStr">
        <is>
          <t>MC</t>
        </is>
      </c>
      <c r="B14" t="inlineStr">
        <is>
          <t>12</t>
        </is>
      </c>
      <c r="C14" t="inlineStr">
        <is>
          <t>accessory</t>
        </is>
      </c>
      <c r="D14" t="inlineStr">
        <is>
          <t>model</t>
        </is>
      </c>
      <c r="G14" s="6" t="n">
        <v>600</v>
      </c>
      <c r="H14" t="n">
        <v>25</v>
      </c>
      <c r="I14" s="3" t="n">
        <v>750</v>
      </c>
      <c r="J14">
        <f>IF(I14&gt;0,CEILING(I14*(1-Policy!$B$13/100),IF(I14&lt;10000,50,100)),"")</f>
        <v/>
      </c>
      <c r="K14">
        <f>IF(I14&gt;0,ROUNDUP(I14/Policy!$B$14*(1+Policy!$B$15/100),0),"")</f>
        <v/>
      </c>
      <c r="L14" t="n">
        <v>14</v>
      </c>
      <c r="M14" t="inlineStr">
        <is>
          <t>typical size AC-25..AC-64; SS and reconditioning quoted case by case; NC free</t>
        </is>
      </c>
    </row>
    <row r="15">
      <c r="A15" t="inlineStr">
        <is>
          <t>MCPU</t>
        </is>
      </c>
      <c r="B15" t="inlineStr">
        <is>
          <t>13</t>
        </is>
      </c>
      <c r="C15" t="inlineStr">
        <is>
          <t>accessory</t>
        </is>
      </c>
      <c r="D15" t="inlineStr">
        <is>
          <t>model</t>
        </is>
      </c>
      <c r="G15" s="6" t="n">
        <v>900</v>
      </c>
      <c r="H15" t="n">
        <v>25</v>
      </c>
      <c r="I15" s="3" t="n">
        <v>1150</v>
      </c>
      <c r="J15">
        <f>IF(I15&gt;0,CEILING(I15*(1-Policy!$B$13/100),IF(I15&lt;10000,50,100)),"")</f>
        <v/>
      </c>
      <c r="K15">
        <f>IF(I15&gt;0,ROUNDUP(I15/Policy!$B$14*(1+Policy!$B$15/100),0),"")</f>
        <v/>
      </c>
      <c r="L15" t="n">
        <v>14</v>
      </c>
      <c r="M15" t="inlineStr">
        <is>
          <t>typical size AC-25..AC-64; SS and reconditioning quoted case by case; NC free</t>
        </is>
      </c>
    </row>
    <row r="16">
      <c r="A16" t="inlineStr">
        <is>
          <t>SS</t>
        </is>
      </c>
      <c r="B16" t="inlineStr">
        <is>
          <t>14</t>
        </is>
      </c>
      <c r="C16" t="inlineStr">
        <is>
          <t>accessory</t>
        </is>
      </c>
      <c r="D16" t="inlineStr">
        <is>
          <t>on request</t>
        </is>
      </c>
      <c r="G16" s="6" t="n">
        <v>0</v>
      </c>
      <c r="H16" t="n">
        <v>0</v>
      </c>
      <c r="I16" s="3" t="n">
        <v>0</v>
      </c>
      <c r="J16">
        <f>IF(I16&gt;0,CEILING(I16*(1-Policy!$B$13/100),IF(I16&lt;10000,50,100)),"")</f>
        <v/>
      </c>
      <c r="K16">
        <f>IF(I16&gt;0,ROUNDUP(I16/Policy!$B$14*(1+Policy!$B$15/100),0),"")</f>
        <v/>
      </c>
      <c r="L16" t="n">
        <v>14</v>
      </c>
      <c r="M16" t="inlineStr">
        <is>
          <t>typical size AC-25..AC-64; SS and reconditioning quoted case by case; NC free</t>
        </is>
      </c>
    </row>
    <row r="17">
      <c r="A17" t="inlineStr">
        <is>
          <t>SENS</t>
        </is>
      </c>
      <c r="B17" t="inlineStr">
        <is>
          <t>15</t>
        </is>
      </c>
      <c r="C17" t="inlineStr">
        <is>
          <t>accessory</t>
        </is>
      </c>
      <c r="D17" t="inlineStr">
        <is>
          <t>model</t>
        </is>
      </c>
      <c r="G17" s="6" t="n">
        <v>6500</v>
      </c>
      <c r="H17" t="n">
        <v>25</v>
      </c>
      <c r="I17" s="3" t="n">
        <v>8150</v>
      </c>
      <c r="J17">
        <f>IF(I17&gt;0,CEILING(I17*(1-Policy!$B$13/100),IF(I17&lt;10000,50,100)),"")</f>
        <v/>
      </c>
      <c r="K17">
        <f>IF(I17&gt;0,ROUNDUP(I17/Policy!$B$14*(1+Policy!$B$15/100),0),"")</f>
        <v/>
      </c>
      <c r="L17" t="n">
        <v>14</v>
      </c>
      <c r="M17" t="inlineStr">
        <is>
          <t>typical size AC-25..AC-64; SS and reconditioning quoted case by case; NC free</t>
        </is>
      </c>
    </row>
    <row r="18">
      <c r="A18" t="inlineStr">
        <is>
          <t>RECON</t>
        </is>
      </c>
      <c r="B18" t="inlineStr">
        <is>
          <t>16</t>
        </is>
      </c>
      <c r="C18" t="inlineStr">
        <is>
          <t>accessory</t>
        </is>
      </c>
      <c r="D18" t="inlineStr">
        <is>
          <t>on request</t>
        </is>
      </c>
      <c r="G18" s="6" t="n">
        <v>0</v>
      </c>
      <c r="H18" t="n">
        <v>0</v>
      </c>
      <c r="I18" s="3" t="n">
        <v>0</v>
      </c>
      <c r="J18">
        <f>IF(I18&gt;0,CEILING(I18*(1-Policy!$B$13/100),IF(I18&lt;10000,50,100)),"")</f>
        <v/>
      </c>
      <c r="K18">
        <f>IF(I18&gt;0,ROUNDUP(I18/Policy!$B$14*(1+Policy!$B$15/100),0),"")</f>
        <v/>
      </c>
      <c r="L18" t="n">
        <v>14</v>
      </c>
      <c r="M18" t="inlineStr">
        <is>
          <t>typical size AC-25..AC-64; SS and reconditioning quoted case by case; NC free</t>
        </is>
      </c>
    </row>
  </sheetData>
  <autoFilter ref="A1:M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8" customWidth="1" min="4" max="4"/>
    <col width="11" customWidth="1" min="5" max="5"/>
    <col width="26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8" customWidth="1" min="12" max="12"/>
    <col width="60" customWidth="1" min="13" max="13"/>
  </cols>
  <sheetData>
    <row r="1">
      <c r="A1" s="5" t="inlineStr">
        <is>
          <t>key</t>
        </is>
      </c>
      <c r="B1" s="5" t="inlineStr">
        <is>
          <t>model</t>
        </is>
      </c>
      <c r="C1" s="5" t="inlineStr">
        <is>
          <t>series</t>
        </is>
      </c>
      <c r="D1" s="5" t="inlineStr">
        <is>
          <t>basis</t>
        </is>
      </c>
      <c r="E1" s="5" t="inlineStr">
        <is>
          <t>file_price</t>
        </is>
      </c>
      <c r="F1" s="5" t="inlineStr">
        <is>
          <t>file_source</t>
        </is>
      </c>
      <c r="G1" s="5" t="inlineStr">
        <is>
          <t>estimate</t>
        </is>
      </c>
      <c r="H1" s="5" t="inlineStr">
        <is>
          <t>margin_pct</t>
        </is>
      </c>
      <c r="I1" s="5" t="inlineStr">
        <is>
          <t>list_inr</t>
        </is>
      </c>
      <c r="J1" s="5" t="inlineStr">
        <is>
          <t>dealer_inr</t>
        </is>
      </c>
      <c r="K1" s="5" t="inlineStr">
        <is>
          <t>usd_indicative</t>
        </is>
      </c>
      <c r="L1" s="5" t="inlineStr">
        <is>
          <t>lead_time_days</t>
        </is>
      </c>
      <c r="M1" s="5" t="inlineStr">
        <is>
          <t>note</t>
        </is>
      </c>
    </row>
    <row r="2">
      <c r="A2" t="inlineStr">
        <is>
          <t>TSC-15</t>
        </is>
      </c>
      <c r="B2" t="inlineStr">
        <is>
          <t>Hydraulic feed-rate controller TSC-15</t>
        </is>
      </c>
      <c r="C2" t="inlineStr">
        <is>
          <t>other</t>
        </is>
      </c>
      <c r="D2" t="inlineStr">
        <is>
          <t>file</t>
        </is>
      </c>
      <c r="E2" t="n">
        <v>6150</v>
      </c>
      <c r="F2" t="inlineStr">
        <is>
          <t>product list / TSC pdf</t>
        </is>
      </c>
      <c r="G2" t="n">
        <v>6150</v>
      </c>
      <c r="H2" t="n">
        <v>0</v>
      </c>
      <c r="I2" s="3" t="n">
        <v>6150</v>
      </c>
      <c r="J2">
        <f>IF(I2&gt;0,CEILING(I2*(1-Policy!$B$13/100),IF(I2&lt;10000,50,100)),"")</f>
        <v/>
      </c>
      <c r="K2">
        <f>IF(I2&gt;0,ROUNDUP(I2/Policy!$B$14*(1+Policy!$B$15/100),0),"")</f>
        <v/>
      </c>
      <c r="L2" t="n">
        <v>21</v>
      </c>
    </row>
    <row r="3">
      <c r="A3" t="inlineStr">
        <is>
          <t>TSC-25</t>
        </is>
      </c>
      <c r="B3" t="inlineStr">
        <is>
          <t>Hydraulic feed-rate controller TSC-25, stroke 30</t>
        </is>
      </c>
      <c r="C3" t="inlineStr">
        <is>
          <t>other</t>
        </is>
      </c>
      <c r="D3" t="inlineStr">
        <is>
          <t>file</t>
        </is>
      </c>
      <c r="E3" t="n">
        <v>6600</v>
      </c>
      <c r="F3" t="inlineStr">
        <is>
          <t>product list / TSC pdf</t>
        </is>
      </c>
      <c r="G3" t="n">
        <v>6600</v>
      </c>
      <c r="H3" t="n">
        <v>0</v>
      </c>
      <c r="I3" s="3" t="n">
        <v>6600</v>
      </c>
      <c r="J3">
        <f>IF(I3&gt;0,CEILING(I3*(1-Policy!$B$13/100),IF(I3&lt;10000,50,100)),"")</f>
        <v/>
      </c>
      <c r="K3">
        <f>IF(I3&gt;0,ROUNDUP(I3/Policy!$B$14*(1+Policy!$B$15/100),0),"")</f>
        <v/>
      </c>
      <c r="L3" t="n">
        <v>21</v>
      </c>
    </row>
    <row r="4">
      <c r="A4" t="inlineStr">
        <is>
          <t>TSC-50</t>
        </is>
      </c>
      <c r="B4" t="inlineStr">
        <is>
          <t>Hydraulic feed-rate controller TSC-50, stroke 60</t>
        </is>
      </c>
      <c r="C4" t="inlineStr">
        <is>
          <t>other</t>
        </is>
      </c>
      <c r="D4" t="inlineStr">
        <is>
          <t>file</t>
        </is>
      </c>
      <c r="E4" t="n">
        <v>9840</v>
      </c>
      <c r="F4" t="inlineStr">
        <is>
          <t>product list / TSC pdf</t>
        </is>
      </c>
      <c r="G4" t="n">
        <v>9840</v>
      </c>
      <c r="H4" t="n">
        <v>0</v>
      </c>
      <c r="I4" s="3" t="n">
        <v>9850</v>
      </c>
      <c r="J4">
        <f>IF(I4&gt;0,CEILING(I4*(1-Policy!$B$13/100),IF(I4&lt;10000,50,100)),"")</f>
        <v/>
      </c>
      <c r="K4">
        <f>IF(I4&gt;0,ROUNDUP(I4/Policy!$B$14*(1+Policy!$B$15/100),0),"")</f>
        <v/>
      </c>
      <c r="L4" t="n">
        <v>21</v>
      </c>
    </row>
    <row r="5">
      <c r="A5" t="inlineStr">
        <is>
          <t>TSC-75</t>
        </is>
      </c>
      <c r="B5" t="inlineStr">
        <is>
          <t>Hydraulic feed-rate controller TSC-75, stroke 80</t>
        </is>
      </c>
      <c r="C5" t="inlineStr">
        <is>
          <t>other</t>
        </is>
      </c>
      <c r="D5" t="inlineStr">
        <is>
          <t>file</t>
        </is>
      </c>
      <c r="E5" t="n">
        <v>14400</v>
      </c>
      <c r="F5" t="inlineStr">
        <is>
          <t>product list / TSC pdf</t>
        </is>
      </c>
      <c r="G5" t="n">
        <v>14400</v>
      </c>
      <c r="H5" t="n">
        <v>0</v>
      </c>
      <c r="I5" s="3" t="n">
        <v>14400</v>
      </c>
      <c r="J5">
        <f>IF(I5&gt;0,CEILING(I5*(1-Policy!$B$13/100),IF(I5&lt;10000,50,100)),"")</f>
        <v/>
      </c>
      <c r="K5">
        <f>IF(I5&gt;0,ROUNDUP(I5/Policy!$B$14*(1+Policy!$B$15/100),0),"")</f>
        <v/>
      </c>
      <c r="L5" t="n">
        <v>21</v>
      </c>
    </row>
    <row r="6">
      <c r="A6" t="inlineStr">
        <is>
          <t>TSC-100</t>
        </is>
      </c>
      <c r="B6" t="inlineStr">
        <is>
          <t>Hydraulic feed-rate controller TSC-100, stroke 100</t>
        </is>
      </c>
      <c r="C6" t="inlineStr">
        <is>
          <t>other</t>
        </is>
      </c>
      <c r="D6" t="inlineStr">
        <is>
          <t>file</t>
        </is>
      </c>
      <c r="E6" t="n">
        <v>16625</v>
      </c>
      <c r="F6" t="inlineStr">
        <is>
          <t>product list / TSC pdf</t>
        </is>
      </c>
      <c r="G6" t="n">
        <v>16625</v>
      </c>
      <c r="H6" t="n">
        <v>0</v>
      </c>
      <c r="I6" s="3" t="n">
        <v>16700</v>
      </c>
      <c r="J6">
        <f>IF(I6&gt;0,CEILING(I6*(1-Policy!$B$13/100),IF(I6&lt;10000,50,100)),"")</f>
        <v/>
      </c>
      <c r="K6">
        <f>IF(I6&gt;0,ROUNDUP(I6/Policy!$B$14*(1+Policy!$B$15/100),0),"")</f>
        <v/>
      </c>
      <c r="L6" t="n">
        <v>21</v>
      </c>
    </row>
    <row r="7">
      <c r="A7" t="inlineStr">
        <is>
          <t>ACWRI-40-10</t>
        </is>
      </c>
      <c r="B7" t="inlineStr">
        <is>
          <t>Compact wire rope isolator ACWRI 40-10</t>
        </is>
      </c>
      <c r="C7" t="inlineStr">
        <is>
          <t>other</t>
        </is>
      </c>
      <c r="D7" t="inlineStr">
        <is>
          <t>file</t>
        </is>
      </c>
      <c r="E7" t="n">
        <v>3100</v>
      </c>
      <c r="F7" t="inlineStr">
        <is>
          <t>product list / TSC pdf</t>
        </is>
      </c>
      <c r="G7" t="n">
        <v>3100</v>
      </c>
      <c r="H7" t="n">
        <v>0</v>
      </c>
      <c r="I7" s="3" t="n">
        <v>3100</v>
      </c>
      <c r="J7">
        <f>IF(I7&gt;0,CEILING(I7*(1-Policy!$B$13/100),IF(I7&lt;10000,50,100)),"")</f>
        <v/>
      </c>
      <c r="K7">
        <f>IF(I7&gt;0,ROUNDUP(I7/Policy!$B$14*(1+Policy!$B$15/100),0),"")</f>
        <v/>
      </c>
      <c r="L7" t="n">
        <v>21</v>
      </c>
    </row>
    <row r="8">
      <c r="A8" t="inlineStr">
        <is>
          <t>HHSS20</t>
        </is>
      </c>
      <c r="B8" t="inlineStr">
        <is>
          <t>Half-helical wire rope isolator HHSS20</t>
        </is>
      </c>
      <c r="C8" t="inlineStr">
        <is>
          <t>other</t>
        </is>
      </c>
      <c r="D8" t="inlineStr">
        <is>
          <t>file</t>
        </is>
      </c>
      <c r="E8" t="n">
        <v>16500</v>
      </c>
      <c r="F8" t="inlineStr">
        <is>
          <t>product list / TSC pdf</t>
        </is>
      </c>
      <c r="G8" t="n">
        <v>16500</v>
      </c>
      <c r="H8" t="n">
        <v>0</v>
      </c>
      <c r="I8" s="3" t="n">
        <v>16500</v>
      </c>
      <c r="J8">
        <f>IF(I8&gt;0,CEILING(I8*(1-Policy!$B$13/100),IF(I8&lt;10000,50,100)),"")</f>
        <v/>
      </c>
      <c r="K8">
        <f>IF(I8&gt;0,ROUNDUP(I8/Policy!$B$14*(1+Policy!$B$15/100),0),"")</f>
        <v/>
      </c>
      <c r="L8" t="n">
        <v>21</v>
      </c>
    </row>
    <row r="9">
      <c r="A9" t="inlineStr">
        <is>
          <t>VIBSOL-45W</t>
        </is>
      </c>
      <c r="B9" t="inlineStr">
        <is>
          <t>Vibsol 45 W rubber isolator</t>
        </is>
      </c>
      <c r="C9" t="inlineStr">
        <is>
          <t>other</t>
        </is>
      </c>
      <c r="D9" t="inlineStr">
        <is>
          <t>file</t>
        </is>
      </c>
      <c r="E9" t="n">
        <v>30000</v>
      </c>
      <c r="F9" t="inlineStr">
        <is>
          <t>product list / TSC pdf</t>
        </is>
      </c>
      <c r="G9" t="n">
        <v>30000</v>
      </c>
      <c r="H9" t="n">
        <v>0</v>
      </c>
      <c r="I9" s="3" t="n">
        <v>30000</v>
      </c>
      <c r="J9">
        <f>IF(I9&gt;0,CEILING(I9*(1-Policy!$B$13/100),IF(I9&lt;10000,50,100)),"")</f>
        <v/>
      </c>
      <c r="K9">
        <f>IF(I9&gt;0,ROUNDUP(I9/Policy!$B$14*(1+Policy!$B$15/100),0),"")</f>
        <v/>
      </c>
      <c r="L9" t="n">
        <v>21</v>
      </c>
    </row>
    <row r="10">
      <c r="A10" t="inlineStr">
        <is>
          <t>SH-500</t>
        </is>
      </c>
      <c r="B10" t="inlineStr">
        <is>
          <t>SH 500 rubber vibration isolator</t>
        </is>
      </c>
      <c r="C10" t="inlineStr">
        <is>
          <t>other</t>
        </is>
      </c>
      <c r="D10" t="inlineStr">
        <is>
          <t>file</t>
        </is>
      </c>
      <c r="E10" t="n">
        <v>25000</v>
      </c>
      <c r="F10" t="inlineStr">
        <is>
          <t>product list / TSC pdf</t>
        </is>
      </c>
      <c r="G10" t="n">
        <v>25000</v>
      </c>
      <c r="H10" t="n">
        <v>0</v>
      </c>
      <c r="I10" s="3" t="n">
        <v>25000</v>
      </c>
      <c r="J10">
        <f>IF(I10&gt;0,CEILING(I10*(1-Policy!$B$13/100),IF(I10&lt;10000,50,100)),"")</f>
        <v/>
      </c>
      <c r="K10">
        <f>IF(I10&gt;0,ROUNDUP(I10/Policy!$B$14*(1+Policy!$B$15/100),0),"")</f>
        <v/>
      </c>
      <c r="L10" t="n">
        <v>21</v>
      </c>
    </row>
    <row r="11">
      <c r="A11" t="inlineStr">
        <is>
          <t>AVM-530603</t>
        </is>
      </c>
      <c r="B11" t="inlineStr">
        <is>
          <t>Diamond shaped anti-vibration mount 530603</t>
        </is>
      </c>
      <c r="C11" t="inlineStr">
        <is>
          <t>other</t>
        </is>
      </c>
      <c r="D11" t="inlineStr">
        <is>
          <t>file</t>
        </is>
      </c>
      <c r="E11" t="n">
        <v>450</v>
      </c>
      <c r="F11" t="inlineStr">
        <is>
          <t>product list / TSC pdf</t>
        </is>
      </c>
      <c r="G11" t="n">
        <v>450</v>
      </c>
      <c r="H11" t="n">
        <v>0</v>
      </c>
      <c r="I11" s="3" t="n">
        <v>450</v>
      </c>
      <c r="J11">
        <f>IF(I11&gt;0,CEILING(I11*(1-Policy!$B$13/100),IF(I11&lt;10000,50,100)),"")</f>
        <v/>
      </c>
      <c r="K11">
        <f>IF(I11&gt;0,ROUNDUP(I11/Policy!$B$14*(1+Policy!$B$15/100),0),"")</f>
        <v/>
      </c>
      <c r="L11" t="n">
        <v>21</v>
      </c>
    </row>
    <row r="12">
      <c r="A12" t="inlineStr">
        <is>
          <t>AVM-20x15-M8</t>
        </is>
      </c>
      <c r="B12" t="inlineStr">
        <is>
          <t>Anti-vibration mount, bilateral bolt 20x15 M8</t>
        </is>
      </c>
      <c r="C12" t="inlineStr">
        <is>
          <t>other</t>
        </is>
      </c>
      <c r="D12" t="inlineStr">
        <is>
          <t>file</t>
        </is>
      </c>
      <c r="E12" t="n">
        <v>450</v>
      </c>
      <c r="F12" t="inlineStr">
        <is>
          <t>product list / TSC pdf</t>
        </is>
      </c>
      <c r="G12" t="n">
        <v>450</v>
      </c>
      <c r="H12" t="n">
        <v>0</v>
      </c>
      <c r="I12" s="3" t="n">
        <v>450</v>
      </c>
      <c r="J12">
        <f>IF(I12&gt;0,CEILING(I12*(1-Policy!$B$13/100),IF(I12&lt;10000,50,100)),"")</f>
        <v/>
      </c>
      <c r="K12">
        <f>IF(I12&gt;0,ROUNDUP(I12/Policy!$B$14*(1+Policy!$B$15/100),0),"")</f>
        <v/>
      </c>
      <c r="L12" t="n">
        <v>21</v>
      </c>
    </row>
    <row r="13">
      <c r="A13" t="inlineStr">
        <is>
          <t>AVM-12x10-M5</t>
        </is>
      </c>
      <c r="B13" t="inlineStr">
        <is>
          <t>Anti-vibration mount, bilateral bolt 12x10 M5</t>
        </is>
      </c>
      <c r="C13" t="inlineStr">
        <is>
          <t>other</t>
        </is>
      </c>
      <c r="D13" t="inlineStr">
        <is>
          <t>file</t>
        </is>
      </c>
      <c r="E13" t="n">
        <v>450</v>
      </c>
      <c r="F13" t="inlineStr">
        <is>
          <t>product list / TSC pdf</t>
        </is>
      </c>
      <c r="G13" t="n">
        <v>450</v>
      </c>
      <c r="H13" t="n">
        <v>0</v>
      </c>
      <c r="I13" s="3" t="n">
        <v>450</v>
      </c>
      <c r="J13">
        <f>IF(I13&gt;0,CEILING(I13*(1-Policy!$B$13/100),IF(I13&lt;10000,50,100)),"")</f>
        <v/>
      </c>
      <c r="K13">
        <f>IF(I13&gt;0,ROUNDUP(I13/Policy!$B$14*(1+Policy!$B$15/100),0),"")</f>
        <v/>
      </c>
      <c r="L13" t="n">
        <v>21</v>
      </c>
    </row>
    <row r="14">
      <c r="A14" t="inlineStr">
        <is>
          <t>EM125140M</t>
        </is>
      </c>
      <c r="B14" t="inlineStr">
        <is>
          <t>Evidgom EM125140M mount</t>
        </is>
      </c>
      <c r="C14" t="inlineStr">
        <is>
          <t>other</t>
        </is>
      </c>
      <c r="D14" t="inlineStr">
        <is>
          <t>file</t>
        </is>
      </c>
      <c r="E14" t="n">
        <v>16200</v>
      </c>
      <c r="F14" t="inlineStr">
        <is>
          <t>product list / TSC pdf</t>
        </is>
      </c>
      <c r="G14" t="n">
        <v>16200</v>
      </c>
      <c r="H14" t="n">
        <v>0</v>
      </c>
      <c r="I14" s="3" t="n">
        <v>16200</v>
      </c>
      <c r="J14">
        <f>IF(I14&gt;0,CEILING(I14*(1-Policy!$B$13/100),IF(I14&lt;10000,50,100)),"")</f>
        <v/>
      </c>
      <c r="K14">
        <f>IF(I14&gt;0,ROUNDUP(I14/Policy!$B$14*(1+Policy!$B$15/100),0),"")</f>
        <v/>
      </c>
      <c r="L14" t="n">
        <v>21</v>
      </c>
    </row>
    <row r="15">
      <c r="A15" t="inlineStr">
        <is>
          <t>KP-125-800</t>
        </is>
      </c>
      <c r="B15" t="inlineStr">
        <is>
          <t>Hydraulic buffer KP 125-800</t>
        </is>
      </c>
      <c r="C15" t="inlineStr">
        <is>
          <t>other</t>
        </is>
      </c>
      <c r="D15" t="inlineStr">
        <is>
          <t>file</t>
        </is>
      </c>
      <c r="E15" t="n">
        <v>69400</v>
      </c>
      <c r="F15" t="inlineStr">
        <is>
          <t>product list / TSC pdf</t>
        </is>
      </c>
      <c r="G15" t="n">
        <v>69400</v>
      </c>
      <c r="H15" t="n">
        <v>0</v>
      </c>
      <c r="I15" s="3" t="n">
        <v>69400</v>
      </c>
      <c r="J15">
        <f>IF(I15&gt;0,CEILING(I15*(1-Policy!$B$13/100),IF(I15&lt;10000,50,100)),"")</f>
        <v/>
      </c>
      <c r="K15">
        <f>IF(I15&gt;0,ROUNDUP(I15/Policy!$B$14*(1+Policy!$B$15/100),0),"")</f>
        <v/>
      </c>
      <c r="L15" t="n">
        <v>21</v>
      </c>
    </row>
  </sheetData>
  <autoFilter ref="A1:M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9" customWidth="1" min="4" max="4"/>
    <col width="8" customWidth="1" min="5" max="5"/>
    <col width="8" customWidth="1" min="6" max="6"/>
    <col width="8" customWidth="1" min="7" max="7"/>
    <col width="7" customWidth="1" min="8" max="8"/>
    <col width="9" customWidth="1" min="9" max="9"/>
    <col width="10" customWidth="1" min="10" max="10"/>
    <col width="9" customWidth="1" min="11" max="11"/>
    <col width="8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10" customWidth="1" min="18" max="18"/>
    <col width="10" customWidth="1" min="19" max="19"/>
    <col width="10" customWidth="1" min="20" max="20"/>
    <col width="7" customWidth="1" min="21" max="21"/>
    <col width="50" customWidth="1" min="22" max="22"/>
  </cols>
  <sheetData>
    <row r="1">
      <c r="A1" s="5" t="inlineStr">
        <is>
          <t>key</t>
        </is>
      </c>
      <c r="B1" s="5" t="inlineStr">
        <is>
          <t>model</t>
        </is>
      </c>
      <c r="C1" s="5" t="inlineStr">
        <is>
          <t>series</t>
        </is>
      </c>
      <c r="D1" s="5" t="inlineStr">
        <is>
          <t>load_max_kg</t>
        </is>
      </c>
      <c r="E1" s="5" t="inlineStr">
        <is>
          <t>dia_mm</t>
        </is>
      </c>
      <c r="F1" s="5" t="inlineStr">
        <is>
          <t>height_mm</t>
        </is>
      </c>
      <c r="G1" s="5" t="inlineStr">
        <is>
          <t>length_mm</t>
        </is>
      </c>
      <c r="H1" s="5" t="inlineStr">
        <is>
          <t>cavities</t>
        </is>
      </c>
      <c r="I1" s="5" t="inlineStr">
        <is>
          <t>rubber_kg</t>
        </is>
      </c>
      <c r="J1" s="5" t="inlineStr">
        <is>
          <t>rubber_cost</t>
        </is>
      </c>
      <c r="K1" s="5" t="inlineStr">
        <is>
          <t>moulding</t>
        </is>
      </c>
      <c r="L1" s="5" t="inlineStr">
        <is>
          <t>metal_kg</t>
        </is>
      </c>
      <c r="M1" s="5" t="inlineStr">
        <is>
          <t>hardware</t>
        </is>
      </c>
      <c r="N1" s="5" t="inlineStr">
        <is>
          <t>mould_cost</t>
        </is>
      </c>
      <c r="O1" s="5" t="inlineStr">
        <is>
          <t>mould_amort</t>
        </is>
      </c>
      <c r="P1" s="5" t="inlineStr">
        <is>
          <t>unit_cost</t>
        </is>
      </c>
      <c r="Q1" s="5" t="inlineStr">
        <is>
          <t>margin_pct</t>
        </is>
      </c>
      <c r="R1" s="5" t="inlineStr">
        <is>
          <t>list_inr</t>
        </is>
      </c>
      <c r="S1" s="5" t="inlineStr">
        <is>
          <t>dealer_inr</t>
        </is>
      </c>
      <c r="T1" s="5" t="inlineStr">
        <is>
          <t>usd_indicative</t>
        </is>
      </c>
      <c r="U1" s="5" t="inlineStr">
        <is>
          <t>basis</t>
        </is>
      </c>
      <c r="V1" s="5" t="inlineStr">
        <is>
          <t>note</t>
        </is>
      </c>
    </row>
    <row r="2">
      <c r="A2" t="inlineStr">
        <is>
          <t>AT-OVTN10-20</t>
        </is>
      </c>
      <c r="B2" t="inlineStr">
        <is>
          <t>AT-OVTN10-20</t>
        </is>
      </c>
      <c r="C2" t="inlineStr">
        <is>
          <t>OVTN rubber-coated anti-impact isolator</t>
        </is>
      </c>
      <c r="D2" t="n">
        <v>20</v>
      </c>
      <c r="E2" t="n">
        <v>111</v>
      </c>
      <c r="F2" t="n">
        <v>76</v>
      </c>
      <c r="G2" t="n">
        <v>127</v>
      </c>
      <c r="H2" s="3" t="n">
        <v>4</v>
      </c>
      <c r="I2" s="3" t="n">
        <v>0.326</v>
      </c>
      <c r="J2">
        <f>ROUND(I2*Policy!$B$16,0)</f>
        <v/>
      </c>
      <c r="K2">
        <f>ROUND(Policy!$B$18+I2*Policy!$B$19,0)</f>
        <v/>
      </c>
      <c r="L2" s="3" t="n">
        <v>0.664</v>
      </c>
      <c r="M2">
        <f>ROUND(MAX(Policy!$B$22,L2*(Policy!$B$20+Policy!$B$21)),0)</f>
        <v/>
      </c>
      <c r="N2">
        <f>IF(E2&lt;=80,Policy!$B$23,IF(E2&lt;=160,Policy!$B$24,Policy!$B$25))</f>
        <v/>
      </c>
      <c r="O2">
        <f>ROUND(N2/(Policy!$B$27*MAX(1,H2)),0)</f>
        <v/>
      </c>
      <c r="P2">
        <f>J2+K2+M2+O2</f>
        <v/>
      </c>
      <c r="Q2">
        <f>Policy!$B$28</f>
        <v/>
      </c>
      <c r="R2">
        <f>CEILING(P2*(1+Q2/100),IF(P2*(1+Q2/100)&lt;10000,50,100))</f>
        <v/>
      </c>
      <c r="S2">
        <f>IF(R2&gt;0,CEILING(R2*(1-Policy!$B$13/100),IF(R2&lt;10000,50,100)),"")</f>
        <v/>
      </c>
      <c r="T2">
        <f>IF(R2&gt;0,ROUNDUP(R2/Policy!$B$14*(1+Policy!$B$15/100),0),"")</f>
        <v/>
      </c>
      <c r="U2" t="inlineStr">
        <is>
          <t>cost</t>
        </is>
      </c>
      <c r="V2" t="inlineStr">
        <is>
          <t>rubber 0.326 kg + moulding + hardware 0.664 kg + mould 45000/50</t>
        </is>
      </c>
    </row>
    <row r="3">
      <c r="A3" t="inlineStr">
        <is>
          <t>AT-OVTN10-15</t>
        </is>
      </c>
      <c r="B3" t="inlineStr">
        <is>
          <t>AT-OVTN10-15</t>
        </is>
      </c>
      <c r="C3" t="inlineStr">
        <is>
          <t>OVTN rubber-coated anti-impact isolator</t>
        </is>
      </c>
      <c r="D3" t="n">
        <v>15</v>
      </c>
      <c r="E3" t="n">
        <v>111</v>
      </c>
      <c r="F3" t="n">
        <v>76</v>
      </c>
      <c r="G3" t="n">
        <v>127</v>
      </c>
      <c r="H3" s="3" t="n">
        <v>4</v>
      </c>
      <c r="I3" s="3" t="n">
        <v>0.326</v>
      </c>
      <c r="J3">
        <f>ROUND(I3*Policy!$B$16,0)</f>
        <v/>
      </c>
      <c r="K3">
        <f>ROUND(Policy!$B$18+I3*Policy!$B$19,0)</f>
        <v/>
      </c>
      <c r="L3" s="3" t="n">
        <v>0.664</v>
      </c>
      <c r="M3">
        <f>ROUND(MAX(Policy!$B$22,L3*(Policy!$B$20+Policy!$B$21)),0)</f>
        <v/>
      </c>
      <c r="N3">
        <f>IF(E3&lt;=80,Policy!$B$23,IF(E3&lt;=160,Policy!$B$24,Policy!$B$25))</f>
        <v/>
      </c>
      <c r="O3">
        <f>ROUND(N3/(Policy!$B$27*MAX(1,H3)),0)</f>
        <v/>
      </c>
      <c r="P3">
        <f>J3+K3+M3+O3</f>
        <v/>
      </c>
      <c r="Q3">
        <f>Policy!$B$28</f>
        <v/>
      </c>
      <c r="R3">
        <f>CEILING(P3*(1+Q3/100),IF(P3*(1+Q3/100)&lt;10000,50,100))</f>
        <v/>
      </c>
      <c r="S3">
        <f>IF(R3&gt;0,CEILING(R3*(1-Policy!$B$13/100),IF(R3&lt;10000,50,100)),"")</f>
        <v/>
      </c>
      <c r="T3">
        <f>IF(R3&gt;0,ROUNDUP(R3/Policy!$B$14*(1+Policy!$B$15/100),0),"")</f>
        <v/>
      </c>
      <c r="U3" t="inlineStr">
        <is>
          <t>cost</t>
        </is>
      </c>
      <c r="V3" t="inlineStr">
        <is>
          <t>rubber 0.326 kg + moulding + hardware 0.664 kg + mould 45000/50</t>
        </is>
      </c>
    </row>
    <row r="4">
      <c r="A4" t="inlineStr">
        <is>
          <t>AT-OVTN10-10</t>
        </is>
      </c>
      <c r="B4" t="inlineStr">
        <is>
          <t>AT-OVTN10-10</t>
        </is>
      </c>
      <c r="C4" t="inlineStr">
        <is>
          <t>OVTN rubber-coated anti-impact isolator</t>
        </is>
      </c>
      <c r="D4" t="n">
        <v>10</v>
      </c>
      <c r="E4" t="n">
        <v>111</v>
      </c>
      <c r="F4" t="n">
        <v>76</v>
      </c>
      <c r="G4" t="n">
        <v>127</v>
      </c>
      <c r="H4" s="3" t="n">
        <v>4</v>
      </c>
      <c r="I4" s="3" t="n">
        <v>0.326</v>
      </c>
      <c r="J4">
        <f>ROUND(I4*Policy!$B$16,0)</f>
        <v/>
      </c>
      <c r="K4">
        <f>ROUND(Policy!$B$18+I4*Policy!$B$19,0)</f>
        <v/>
      </c>
      <c r="L4" s="3" t="n">
        <v>0.664</v>
      </c>
      <c r="M4">
        <f>ROUND(MAX(Policy!$B$22,L4*(Policy!$B$20+Policy!$B$21)),0)</f>
        <v/>
      </c>
      <c r="N4">
        <f>IF(E4&lt;=80,Policy!$B$23,IF(E4&lt;=160,Policy!$B$24,Policy!$B$25))</f>
        <v/>
      </c>
      <c r="O4">
        <f>ROUND(N4/(Policy!$B$27*MAX(1,H4)),0)</f>
        <v/>
      </c>
      <c r="P4">
        <f>J4+K4+M4+O4</f>
        <v/>
      </c>
      <c r="Q4">
        <f>Policy!$B$28</f>
        <v/>
      </c>
      <c r="R4">
        <f>CEILING(P4*(1+Q4/100),IF(P4*(1+Q4/100)&lt;10000,50,100))</f>
        <v/>
      </c>
      <c r="S4">
        <f>IF(R4&gt;0,CEILING(R4*(1-Policy!$B$13/100),IF(R4&lt;10000,50,100)),"")</f>
        <v/>
      </c>
      <c r="T4">
        <f>IF(R4&gt;0,ROUNDUP(R4/Policy!$B$14*(1+Policy!$B$15/100),0),"")</f>
        <v/>
      </c>
      <c r="U4" t="inlineStr">
        <is>
          <t>cost</t>
        </is>
      </c>
      <c r="V4" t="inlineStr">
        <is>
          <t>rubber 0.326 kg + moulding + hardware 0.664 kg + mould 45000/50</t>
        </is>
      </c>
    </row>
    <row r="5">
      <c r="A5" t="inlineStr">
        <is>
          <t>AT-OVTN20-150</t>
        </is>
      </c>
      <c r="B5" t="inlineStr">
        <is>
          <t>AT-OVTN20-150</t>
        </is>
      </c>
      <c r="C5" t="inlineStr">
        <is>
          <t>OVTN rubber-coated anti-impact isolator</t>
        </is>
      </c>
      <c r="D5" t="n">
        <v>150</v>
      </c>
      <c r="E5" t="n">
        <v>165</v>
      </c>
      <c r="F5" t="n">
        <v>140</v>
      </c>
      <c r="G5" t="n">
        <v>203</v>
      </c>
      <c r="H5" s="3" t="n">
        <v>1</v>
      </c>
      <c r="I5" s="3" t="n">
        <v>1.325</v>
      </c>
      <c r="J5">
        <f>ROUND(I5*Policy!$B$16,0)</f>
        <v/>
      </c>
      <c r="K5">
        <f>ROUND(Policy!$B$18+I5*Policy!$B$19,0)</f>
        <v/>
      </c>
      <c r="L5" s="3" t="n">
        <v>1.578</v>
      </c>
      <c r="M5">
        <f>ROUND(MAX(Policy!$B$22,L5*(Policy!$B$20+Policy!$B$21)),0)</f>
        <v/>
      </c>
      <c r="N5">
        <f>IF(E5&lt;=80,Policy!$B$23,IF(E5&lt;=160,Policy!$B$24,Policy!$B$25))</f>
        <v/>
      </c>
      <c r="O5">
        <f>ROUND(N5/(Policy!$B$27*MAX(1,H5)),0)</f>
        <v/>
      </c>
      <c r="P5">
        <f>J5+K5+M5+O5</f>
        <v/>
      </c>
      <c r="Q5">
        <f>Policy!$B$28</f>
        <v/>
      </c>
      <c r="R5">
        <f>CEILING(P5*(1+Q5/100),IF(P5*(1+Q5/100)&lt;10000,50,100))</f>
        <v/>
      </c>
      <c r="S5">
        <f>IF(R5&gt;0,CEILING(R5*(1-Policy!$B$13/100),IF(R5&lt;10000,50,100)),"")</f>
        <v/>
      </c>
      <c r="T5">
        <f>IF(R5&gt;0,ROUNDUP(R5/Policy!$B$14*(1+Policy!$B$15/100),0),"")</f>
        <v/>
      </c>
      <c r="U5" t="inlineStr">
        <is>
          <t>cost</t>
        </is>
      </c>
      <c r="V5" t="inlineStr">
        <is>
          <t>rubber 1.325 kg + moulding + hardware 1.578 kg + mould 80000/50</t>
        </is>
      </c>
    </row>
    <row r="6">
      <c r="A6" t="inlineStr">
        <is>
          <t>AT-OVTN20-100</t>
        </is>
      </c>
      <c r="B6" t="inlineStr">
        <is>
          <t>AT-OVTN20-100</t>
        </is>
      </c>
      <c r="C6" t="inlineStr">
        <is>
          <t>OVTN rubber-coated anti-impact isolator</t>
        </is>
      </c>
      <c r="D6" t="n">
        <v>100</v>
      </c>
      <c r="E6" t="n">
        <v>165</v>
      </c>
      <c r="F6" t="n">
        <v>140</v>
      </c>
      <c r="G6" t="n">
        <v>203</v>
      </c>
      <c r="H6" s="3" t="n">
        <v>1</v>
      </c>
      <c r="I6" s="3" t="n">
        <v>1.325</v>
      </c>
      <c r="J6">
        <f>ROUND(I6*Policy!$B$16,0)</f>
        <v/>
      </c>
      <c r="K6">
        <f>ROUND(Policy!$B$18+I6*Policy!$B$19,0)</f>
        <v/>
      </c>
      <c r="L6" s="3" t="n">
        <v>1.578</v>
      </c>
      <c r="M6">
        <f>ROUND(MAX(Policy!$B$22,L6*(Policy!$B$20+Policy!$B$21)),0)</f>
        <v/>
      </c>
      <c r="N6">
        <f>IF(E6&lt;=80,Policy!$B$23,IF(E6&lt;=160,Policy!$B$24,Policy!$B$25))</f>
        <v/>
      </c>
      <c r="O6">
        <f>ROUND(N6/(Policy!$B$27*MAX(1,H6)),0)</f>
        <v/>
      </c>
      <c r="P6">
        <f>J6+K6+M6+O6</f>
        <v/>
      </c>
      <c r="Q6">
        <f>Policy!$B$28</f>
        <v/>
      </c>
      <c r="R6">
        <f>CEILING(P6*(1+Q6/100),IF(P6*(1+Q6/100)&lt;10000,50,100))</f>
        <v/>
      </c>
      <c r="S6">
        <f>IF(R6&gt;0,CEILING(R6*(1-Policy!$B$13/100),IF(R6&lt;10000,50,100)),"")</f>
        <v/>
      </c>
      <c r="T6">
        <f>IF(R6&gt;0,ROUNDUP(R6/Policy!$B$14*(1+Policy!$B$15/100),0),"")</f>
        <v/>
      </c>
      <c r="U6" t="inlineStr">
        <is>
          <t>cost</t>
        </is>
      </c>
      <c r="V6" t="inlineStr">
        <is>
          <t>rubber 1.325 kg + moulding + hardware 1.578 kg + mould 80000/50</t>
        </is>
      </c>
    </row>
    <row r="7">
      <c r="A7" t="inlineStr">
        <is>
          <t>AT-OVTN20-50</t>
        </is>
      </c>
      <c r="B7" t="inlineStr">
        <is>
          <t>AT-OVTN20-50</t>
        </is>
      </c>
      <c r="C7" t="inlineStr">
        <is>
          <t>OVTN rubber-coated anti-impact isolator</t>
        </is>
      </c>
      <c r="D7" t="n">
        <v>50</v>
      </c>
      <c r="E7" t="n">
        <v>165</v>
      </c>
      <c r="F7" t="n">
        <v>140</v>
      </c>
      <c r="G7" t="n">
        <v>203</v>
      </c>
      <c r="H7" s="3" t="n">
        <v>1</v>
      </c>
      <c r="I7" s="3" t="n">
        <v>1.325</v>
      </c>
      <c r="J7">
        <f>ROUND(I7*Policy!$B$16,0)</f>
        <v/>
      </c>
      <c r="K7">
        <f>ROUND(Policy!$B$18+I7*Policy!$B$19,0)</f>
        <v/>
      </c>
      <c r="L7" s="3" t="n">
        <v>1.578</v>
      </c>
      <c r="M7">
        <f>ROUND(MAX(Policy!$B$22,L7*(Policy!$B$20+Policy!$B$21)),0)</f>
        <v/>
      </c>
      <c r="N7">
        <f>IF(E7&lt;=80,Policy!$B$23,IF(E7&lt;=160,Policy!$B$24,Policy!$B$25))</f>
        <v/>
      </c>
      <c r="O7">
        <f>ROUND(N7/(Policy!$B$27*MAX(1,H7)),0)</f>
        <v/>
      </c>
      <c r="P7">
        <f>J7+K7+M7+O7</f>
        <v/>
      </c>
      <c r="Q7">
        <f>Policy!$B$28</f>
        <v/>
      </c>
      <c r="R7">
        <f>CEILING(P7*(1+Q7/100),IF(P7*(1+Q7/100)&lt;10000,50,100))</f>
        <v/>
      </c>
      <c r="S7">
        <f>IF(R7&gt;0,CEILING(R7*(1-Policy!$B$13/100),IF(R7&lt;10000,50,100)),"")</f>
        <v/>
      </c>
      <c r="T7">
        <f>IF(R7&gt;0,ROUNDUP(R7/Policy!$B$14*(1+Policy!$B$15/100),0),"")</f>
        <v/>
      </c>
      <c r="U7" t="inlineStr">
        <is>
          <t>cost</t>
        </is>
      </c>
      <c r="V7" t="inlineStr">
        <is>
          <t>rubber 1.325 kg + moulding + hardware 1.578 kg + mould 80000/50</t>
        </is>
      </c>
    </row>
    <row r="8">
      <c r="A8" t="inlineStr">
        <is>
          <t>AT-OVTN30-250</t>
        </is>
      </c>
      <c r="B8" t="inlineStr">
        <is>
          <t>AT-OVTN30-250</t>
        </is>
      </c>
      <c r="C8" t="inlineStr">
        <is>
          <t>OVTN rubber-coated anti-impact isolator</t>
        </is>
      </c>
      <c r="D8" t="n">
        <v>250</v>
      </c>
      <c r="E8" t="n">
        <v>165</v>
      </c>
      <c r="F8" t="n">
        <v>140</v>
      </c>
      <c r="G8" t="n">
        <v>241</v>
      </c>
      <c r="H8" s="3" t="n">
        <v>1</v>
      </c>
      <c r="I8" s="3" t="n">
        <v>1.325</v>
      </c>
      <c r="J8">
        <f>ROUND(I8*Policy!$B$16,0)</f>
        <v/>
      </c>
      <c r="K8">
        <f>ROUND(Policy!$B$18+I8*Policy!$B$19,0)</f>
        <v/>
      </c>
      <c r="L8" s="3" t="n">
        <v>1.873</v>
      </c>
      <c r="M8">
        <f>ROUND(MAX(Policy!$B$22,L8*(Policy!$B$20+Policy!$B$21)),0)</f>
        <v/>
      </c>
      <c r="N8">
        <f>IF(E8&lt;=80,Policy!$B$23,IF(E8&lt;=160,Policy!$B$24,Policy!$B$25))</f>
        <v/>
      </c>
      <c r="O8">
        <f>ROUND(N8/(Policy!$B$27*MAX(1,H8)),0)</f>
        <v/>
      </c>
      <c r="P8">
        <f>J8+K8+M8+O8</f>
        <v/>
      </c>
      <c r="Q8">
        <f>Policy!$B$28</f>
        <v/>
      </c>
      <c r="R8">
        <f>CEILING(P8*(1+Q8/100),IF(P8*(1+Q8/100)&lt;10000,50,100))</f>
        <v/>
      </c>
      <c r="S8">
        <f>IF(R8&gt;0,CEILING(R8*(1-Policy!$B$13/100),IF(R8&lt;10000,50,100)),"")</f>
        <v/>
      </c>
      <c r="T8">
        <f>IF(R8&gt;0,ROUNDUP(R8/Policy!$B$14*(1+Policy!$B$15/100),0),"")</f>
        <v/>
      </c>
      <c r="U8" t="inlineStr">
        <is>
          <t>cost</t>
        </is>
      </c>
      <c r="V8" t="inlineStr">
        <is>
          <t>rubber 1.325 kg + moulding + hardware 1.873 kg + mould 80000/50</t>
        </is>
      </c>
    </row>
    <row r="9">
      <c r="A9" t="inlineStr">
        <is>
          <t>AT-OVTN30-125</t>
        </is>
      </c>
      <c r="B9" t="inlineStr">
        <is>
          <t>AT-OVTN30-125</t>
        </is>
      </c>
      <c r="C9" t="inlineStr">
        <is>
          <t>OVTN rubber-coated anti-impact isolator</t>
        </is>
      </c>
      <c r="D9" t="n">
        <v>125</v>
      </c>
      <c r="E9" t="n">
        <v>165</v>
      </c>
      <c r="F9" t="n">
        <v>140</v>
      </c>
      <c r="G9" t="n">
        <v>241</v>
      </c>
      <c r="H9" s="3" t="n">
        <v>1</v>
      </c>
      <c r="I9" s="3" t="n">
        <v>1.325</v>
      </c>
      <c r="J9">
        <f>ROUND(I9*Policy!$B$16,0)</f>
        <v/>
      </c>
      <c r="K9">
        <f>ROUND(Policy!$B$18+I9*Policy!$B$19,0)</f>
        <v/>
      </c>
      <c r="L9" s="3" t="n">
        <v>1.873</v>
      </c>
      <c r="M9">
        <f>ROUND(MAX(Policy!$B$22,L9*(Policy!$B$20+Policy!$B$21)),0)</f>
        <v/>
      </c>
      <c r="N9">
        <f>IF(E9&lt;=80,Policy!$B$23,IF(E9&lt;=160,Policy!$B$24,Policy!$B$25))</f>
        <v/>
      </c>
      <c r="O9">
        <f>ROUND(N9/(Policy!$B$27*MAX(1,H9)),0)</f>
        <v/>
      </c>
      <c r="P9">
        <f>J9+K9+M9+O9</f>
        <v/>
      </c>
      <c r="Q9">
        <f>Policy!$B$28</f>
        <v/>
      </c>
      <c r="R9">
        <f>CEILING(P9*(1+Q9/100),IF(P9*(1+Q9/100)&lt;10000,50,100))</f>
        <v/>
      </c>
      <c r="S9">
        <f>IF(R9&gt;0,CEILING(R9*(1-Policy!$B$13/100),IF(R9&lt;10000,50,100)),"")</f>
        <v/>
      </c>
      <c r="T9">
        <f>IF(R9&gt;0,ROUNDUP(R9/Policy!$B$14*(1+Policy!$B$15/100),0),"")</f>
        <v/>
      </c>
      <c r="U9" t="inlineStr">
        <is>
          <t>cost</t>
        </is>
      </c>
      <c r="V9" t="inlineStr">
        <is>
          <t>rubber 1.325 kg + moulding + hardware 1.873 kg + mould 80000/50</t>
        </is>
      </c>
    </row>
    <row r="10">
      <c r="A10" t="inlineStr">
        <is>
          <t>AT-OVTN30-60</t>
        </is>
      </c>
      <c r="B10" t="inlineStr">
        <is>
          <t>AT-OVTN30-60</t>
        </is>
      </c>
      <c r="C10" t="inlineStr">
        <is>
          <t>OVTN rubber-coated anti-impact isolator</t>
        </is>
      </c>
      <c r="D10" t="n">
        <v>60</v>
      </c>
      <c r="E10" t="n">
        <v>165</v>
      </c>
      <c r="F10" t="n">
        <v>140</v>
      </c>
      <c r="G10" t="n">
        <v>241</v>
      </c>
      <c r="H10" s="3" t="n">
        <v>1</v>
      </c>
      <c r="I10" s="3" t="n">
        <v>1.325</v>
      </c>
      <c r="J10">
        <f>ROUND(I10*Policy!$B$16,0)</f>
        <v/>
      </c>
      <c r="K10">
        <f>ROUND(Policy!$B$18+I10*Policy!$B$19,0)</f>
        <v/>
      </c>
      <c r="L10" s="3" t="n">
        <v>1.873</v>
      </c>
      <c r="M10">
        <f>ROUND(MAX(Policy!$B$22,L10*(Policy!$B$20+Policy!$B$21)),0)</f>
        <v/>
      </c>
      <c r="N10">
        <f>IF(E10&lt;=80,Policy!$B$23,IF(E10&lt;=160,Policy!$B$24,Policy!$B$25))</f>
        <v/>
      </c>
      <c r="O10">
        <f>ROUND(N10/(Policy!$B$27*MAX(1,H10)),0)</f>
        <v/>
      </c>
      <c r="P10">
        <f>J10+K10+M10+O10</f>
        <v/>
      </c>
      <c r="Q10">
        <f>Policy!$B$28</f>
        <v/>
      </c>
      <c r="R10">
        <f>CEILING(P10*(1+Q10/100),IF(P10*(1+Q10/100)&lt;10000,50,100))</f>
        <v/>
      </c>
      <c r="S10">
        <f>IF(R10&gt;0,CEILING(R10*(1-Policy!$B$13/100),IF(R10&lt;10000,50,100)),"")</f>
        <v/>
      </c>
      <c r="T10">
        <f>IF(R10&gt;0,ROUNDUP(R10/Policy!$B$14*(1+Policy!$B$15/100),0),"")</f>
        <v/>
      </c>
      <c r="U10" t="inlineStr">
        <is>
          <t>cost</t>
        </is>
      </c>
      <c r="V10" t="inlineStr">
        <is>
          <t>rubber 1.325 kg + moulding + hardware 1.873 kg + mould 80000/50</t>
        </is>
      </c>
    </row>
    <row r="11">
      <c r="A11" t="inlineStr">
        <is>
          <t>AT-OVTN40-300</t>
        </is>
      </c>
      <c r="B11" t="inlineStr">
        <is>
          <t>AT-OVTN40-300</t>
        </is>
      </c>
      <c r="C11" t="inlineStr">
        <is>
          <t>OVTN rubber-coated anti-impact isolator</t>
        </is>
      </c>
      <c r="D11" t="n">
        <v>300</v>
      </c>
      <c r="E11" t="n">
        <v>235</v>
      </c>
      <c r="F11" t="n">
        <v>165</v>
      </c>
      <c r="G11" t="n">
        <v>279</v>
      </c>
      <c r="H11" s="3" t="n">
        <v>1</v>
      </c>
      <c r="I11" s="3" t="n">
        <v>3.169</v>
      </c>
      <c r="J11">
        <f>ROUND(I11*Policy!$B$16,0)</f>
        <v/>
      </c>
      <c r="K11">
        <f>ROUND(Policy!$B$18+I11*Policy!$B$19,0)</f>
        <v/>
      </c>
      <c r="L11" s="3" t="n">
        <v>3.088</v>
      </c>
      <c r="M11">
        <f>ROUND(MAX(Policy!$B$22,L11*(Policy!$B$20+Policy!$B$21)),0)</f>
        <v/>
      </c>
      <c r="N11">
        <f>IF(E11&lt;=80,Policy!$B$23,IF(E11&lt;=160,Policy!$B$24,Policy!$B$25))</f>
        <v/>
      </c>
      <c r="O11">
        <f>ROUND(N11/(Policy!$B$27*MAX(1,H11)),0)</f>
        <v/>
      </c>
      <c r="P11">
        <f>J11+K11+M11+O11</f>
        <v/>
      </c>
      <c r="Q11">
        <f>Policy!$B$28</f>
        <v/>
      </c>
      <c r="R11">
        <f>CEILING(P11*(1+Q11/100),IF(P11*(1+Q11/100)&lt;10000,50,100))</f>
        <v/>
      </c>
      <c r="S11">
        <f>IF(R11&gt;0,CEILING(R11*(1-Policy!$B$13/100),IF(R11&lt;10000,50,100)),"")</f>
        <v/>
      </c>
      <c r="T11">
        <f>IF(R11&gt;0,ROUNDUP(R11/Policy!$B$14*(1+Policy!$B$15/100),0),"")</f>
        <v/>
      </c>
      <c r="U11" t="inlineStr">
        <is>
          <t>cost</t>
        </is>
      </c>
      <c r="V11" t="inlineStr">
        <is>
          <t>rubber 3.169 kg + moulding + hardware 3.088 kg + mould 80000/50</t>
        </is>
      </c>
    </row>
    <row r="12">
      <c r="A12" t="inlineStr">
        <is>
          <t>AT-OVTN40-200</t>
        </is>
      </c>
      <c r="B12" t="inlineStr">
        <is>
          <t>AT-OVTN40-200</t>
        </is>
      </c>
      <c r="C12" t="inlineStr">
        <is>
          <t>OVTN rubber-coated anti-impact isolator</t>
        </is>
      </c>
      <c r="D12" t="n">
        <v>200</v>
      </c>
      <c r="E12" t="n">
        <v>235</v>
      </c>
      <c r="F12" t="n">
        <v>165</v>
      </c>
      <c r="G12" t="n">
        <v>279</v>
      </c>
      <c r="H12" s="3" t="n">
        <v>1</v>
      </c>
      <c r="I12" s="3" t="n">
        <v>3.169</v>
      </c>
      <c r="J12">
        <f>ROUND(I12*Policy!$B$16,0)</f>
        <v/>
      </c>
      <c r="K12">
        <f>ROUND(Policy!$B$18+I12*Policy!$B$19,0)</f>
        <v/>
      </c>
      <c r="L12" s="3" t="n">
        <v>3.088</v>
      </c>
      <c r="M12">
        <f>ROUND(MAX(Policy!$B$22,L12*(Policy!$B$20+Policy!$B$21)),0)</f>
        <v/>
      </c>
      <c r="N12">
        <f>IF(E12&lt;=80,Policy!$B$23,IF(E12&lt;=160,Policy!$B$24,Policy!$B$25))</f>
        <v/>
      </c>
      <c r="O12">
        <f>ROUND(N12/(Policy!$B$27*MAX(1,H12)),0)</f>
        <v/>
      </c>
      <c r="P12">
        <f>J12+K12+M12+O12</f>
        <v/>
      </c>
      <c r="Q12">
        <f>Policy!$B$28</f>
        <v/>
      </c>
      <c r="R12">
        <f>CEILING(P12*(1+Q12/100),IF(P12*(1+Q12/100)&lt;10000,50,100))</f>
        <v/>
      </c>
      <c r="S12">
        <f>IF(R12&gt;0,CEILING(R12*(1-Policy!$B$13/100),IF(R12&lt;10000,50,100)),"")</f>
        <v/>
      </c>
      <c r="T12">
        <f>IF(R12&gt;0,ROUNDUP(R12/Policy!$B$14*(1+Policy!$B$15/100),0),"")</f>
        <v/>
      </c>
      <c r="U12" t="inlineStr">
        <is>
          <t>cost</t>
        </is>
      </c>
      <c r="V12" t="inlineStr">
        <is>
          <t>rubber 3.169 kg + moulding + hardware 3.088 kg + mould 80000/50</t>
        </is>
      </c>
    </row>
    <row r="13">
      <c r="A13" t="inlineStr">
        <is>
          <t>AT-OVTN40-80</t>
        </is>
      </c>
      <c r="B13" t="inlineStr">
        <is>
          <t>AT-OVTN40-80</t>
        </is>
      </c>
      <c r="C13" t="inlineStr">
        <is>
          <t>OVTN rubber-coated anti-impact isolator</t>
        </is>
      </c>
      <c r="D13" t="n">
        <v>80</v>
      </c>
      <c r="E13" t="n">
        <v>235</v>
      </c>
      <c r="F13" t="n">
        <v>165</v>
      </c>
      <c r="G13" t="n">
        <v>279</v>
      </c>
      <c r="H13" s="3" t="n">
        <v>1</v>
      </c>
      <c r="I13" s="3" t="n">
        <v>3.169</v>
      </c>
      <c r="J13">
        <f>ROUND(I13*Policy!$B$16,0)</f>
        <v/>
      </c>
      <c r="K13">
        <f>ROUND(Policy!$B$18+I13*Policy!$B$19,0)</f>
        <v/>
      </c>
      <c r="L13" s="3" t="n">
        <v>3.088</v>
      </c>
      <c r="M13">
        <f>ROUND(MAX(Policy!$B$22,L13*(Policy!$B$20+Policy!$B$21)),0)</f>
        <v/>
      </c>
      <c r="N13">
        <f>IF(E13&lt;=80,Policy!$B$23,IF(E13&lt;=160,Policy!$B$24,Policy!$B$25))</f>
        <v/>
      </c>
      <c r="O13">
        <f>ROUND(N13/(Policy!$B$27*MAX(1,H13)),0)</f>
        <v/>
      </c>
      <c r="P13">
        <f>J13+K13+M13+O13</f>
        <v/>
      </c>
      <c r="Q13">
        <f>Policy!$B$28</f>
        <v/>
      </c>
      <c r="R13">
        <f>CEILING(P13*(1+Q13/100),IF(P13*(1+Q13/100)&lt;10000,50,100))</f>
        <v/>
      </c>
      <c r="S13">
        <f>IF(R13&gt;0,CEILING(R13*(1-Policy!$B$13/100),IF(R13&lt;10000,50,100)),"")</f>
        <v/>
      </c>
      <c r="T13">
        <f>IF(R13&gt;0,ROUNDUP(R13/Policy!$B$14*(1+Policy!$B$15/100),0),"")</f>
        <v/>
      </c>
      <c r="U13" t="inlineStr">
        <is>
          <t>cost</t>
        </is>
      </c>
      <c r="V13" t="inlineStr">
        <is>
          <t>rubber 3.169 kg + moulding + hardware 3.088 kg + mould 80000/50</t>
        </is>
      </c>
    </row>
    <row r="14">
      <c r="A14" t="inlineStr">
        <is>
          <t>AT-OVTN50-1800</t>
        </is>
      </c>
      <c r="B14" t="inlineStr">
        <is>
          <t>AT-OVTN50-1800</t>
        </is>
      </c>
      <c r="C14" t="inlineStr">
        <is>
          <t>OVTN rubber-coated anti-impact isolator</t>
        </is>
      </c>
      <c r="D14" t="n">
        <v>1800</v>
      </c>
      <c r="E14" t="n">
        <v>240</v>
      </c>
      <c r="F14" t="n">
        <v>184</v>
      </c>
      <c r="G14" t="n">
        <v>375</v>
      </c>
      <c r="H14" s="3" t="n">
        <v>1</v>
      </c>
      <c r="I14" s="3" t="n">
        <v>3.685</v>
      </c>
      <c r="J14">
        <f>ROUND(I14*Policy!$B$16,0)</f>
        <v/>
      </c>
      <c r="K14">
        <f>ROUND(Policy!$B$18+I14*Policy!$B$19,0)</f>
        <v/>
      </c>
      <c r="L14" s="3" t="n">
        <v>4.239</v>
      </c>
      <c r="M14">
        <f>ROUND(MAX(Policy!$B$22,L14*(Policy!$B$20+Policy!$B$21)),0)</f>
        <v/>
      </c>
      <c r="N14">
        <f>IF(E14&lt;=80,Policy!$B$23,IF(E14&lt;=160,Policy!$B$24,Policy!$B$25))</f>
        <v/>
      </c>
      <c r="O14">
        <f>ROUND(N14/(Policy!$B$27*MAX(1,H14)),0)</f>
        <v/>
      </c>
      <c r="P14">
        <f>J14+K14+M14+O14</f>
        <v/>
      </c>
      <c r="Q14">
        <f>Policy!$B$28</f>
        <v/>
      </c>
      <c r="R14">
        <f>CEILING(P14*(1+Q14/100),IF(P14*(1+Q14/100)&lt;10000,50,100))</f>
        <v/>
      </c>
      <c r="S14">
        <f>IF(R14&gt;0,CEILING(R14*(1-Policy!$B$13/100),IF(R14&lt;10000,50,100)),"")</f>
        <v/>
      </c>
      <c r="T14">
        <f>IF(R14&gt;0,ROUNDUP(R14/Policy!$B$14*(1+Policy!$B$15/100),0),"")</f>
        <v/>
      </c>
      <c r="U14" t="inlineStr">
        <is>
          <t>cost</t>
        </is>
      </c>
      <c r="V14" t="inlineStr">
        <is>
          <t>rubber 3.685 kg + moulding + hardware 4.239 kg + mould 80000/50</t>
        </is>
      </c>
    </row>
    <row r="15">
      <c r="A15" t="inlineStr">
        <is>
          <t>AT-OVTN50-1000</t>
        </is>
      </c>
      <c r="B15" t="inlineStr">
        <is>
          <t>AT-OVTN50-1000</t>
        </is>
      </c>
      <c r="C15" t="inlineStr">
        <is>
          <t>OVTN rubber-coated anti-impact isolator</t>
        </is>
      </c>
      <c r="D15" t="n">
        <v>1000</v>
      </c>
      <c r="E15" t="n">
        <v>240</v>
      </c>
      <c r="F15" t="n">
        <v>184</v>
      </c>
      <c r="G15" t="n">
        <v>375</v>
      </c>
      <c r="H15" s="3" t="n">
        <v>1</v>
      </c>
      <c r="I15" s="3" t="n">
        <v>3.685</v>
      </c>
      <c r="J15">
        <f>ROUND(I15*Policy!$B$16,0)</f>
        <v/>
      </c>
      <c r="K15">
        <f>ROUND(Policy!$B$18+I15*Policy!$B$19,0)</f>
        <v/>
      </c>
      <c r="L15" s="3" t="n">
        <v>4.239</v>
      </c>
      <c r="M15">
        <f>ROUND(MAX(Policy!$B$22,L15*(Policy!$B$20+Policy!$B$21)),0)</f>
        <v/>
      </c>
      <c r="N15">
        <f>IF(E15&lt;=80,Policy!$B$23,IF(E15&lt;=160,Policy!$B$24,Policy!$B$25))</f>
        <v/>
      </c>
      <c r="O15">
        <f>ROUND(N15/(Policy!$B$27*MAX(1,H15)),0)</f>
        <v/>
      </c>
      <c r="P15">
        <f>J15+K15+M15+O15</f>
        <v/>
      </c>
      <c r="Q15">
        <f>Policy!$B$28</f>
        <v/>
      </c>
      <c r="R15">
        <f>CEILING(P15*(1+Q15/100),IF(P15*(1+Q15/100)&lt;10000,50,100))</f>
        <v/>
      </c>
      <c r="S15">
        <f>IF(R15&gt;0,CEILING(R15*(1-Policy!$B$13/100),IF(R15&lt;10000,50,100)),"")</f>
        <v/>
      </c>
      <c r="T15">
        <f>IF(R15&gt;0,ROUNDUP(R15/Policy!$B$14*(1+Policy!$B$15/100),0),"")</f>
        <v/>
      </c>
      <c r="U15" t="inlineStr">
        <is>
          <t>cost</t>
        </is>
      </c>
      <c r="V15" t="inlineStr">
        <is>
          <t>rubber 3.685 kg + moulding + hardware 4.239 kg + mould 80000/50</t>
        </is>
      </c>
    </row>
    <row r="16">
      <c r="A16" t="inlineStr">
        <is>
          <t>AT-OVTN50-400</t>
        </is>
      </c>
      <c r="B16" t="inlineStr">
        <is>
          <t>AT-OVTN50-400</t>
        </is>
      </c>
      <c r="C16" t="inlineStr">
        <is>
          <t>OVTN rubber-coated anti-impact isolator</t>
        </is>
      </c>
      <c r="D16" t="n">
        <v>400</v>
      </c>
      <c r="E16" t="n">
        <v>240</v>
      </c>
      <c r="F16" t="n">
        <v>184</v>
      </c>
      <c r="G16" t="n">
        <v>375</v>
      </c>
      <c r="H16" s="3" t="n">
        <v>1</v>
      </c>
      <c r="I16" s="3" t="n">
        <v>3.685</v>
      </c>
      <c r="J16">
        <f>ROUND(I16*Policy!$B$16,0)</f>
        <v/>
      </c>
      <c r="K16">
        <f>ROUND(Policy!$B$18+I16*Policy!$B$19,0)</f>
        <v/>
      </c>
      <c r="L16" s="3" t="n">
        <v>4.239</v>
      </c>
      <c r="M16">
        <f>ROUND(MAX(Policy!$B$22,L16*(Policy!$B$20+Policy!$B$21)),0)</f>
        <v/>
      </c>
      <c r="N16">
        <f>IF(E16&lt;=80,Policy!$B$23,IF(E16&lt;=160,Policy!$B$24,Policy!$B$25))</f>
        <v/>
      </c>
      <c r="O16">
        <f>ROUND(N16/(Policy!$B$27*MAX(1,H16)),0)</f>
        <v/>
      </c>
      <c r="P16">
        <f>J16+K16+M16+O16</f>
        <v/>
      </c>
      <c r="Q16">
        <f>Policy!$B$28</f>
        <v/>
      </c>
      <c r="R16">
        <f>CEILING(P16*(1+Q16/100),IF(P16*(1+Q16/100)&lt;10000,50,100))</f>
        <v/>
      </c>
      <c r="S16">
        <f>IF(R16&gt;0,CEILING(R16*(1-Policy!$B$13/100),IF(R16&lt;10000,50,100)),"")</f>
        <v/>
      </c>
      <c r="T16">
        <f>IF(R16&gt;0,ROUNDUP(R16/Policy!$B$14*(1+Policy!$B$15/100),0),"")</f>
        <v/>
      </c>
      <c r="U16" t="inlineStr">
        <is>
          <t>cost</t>
        </is>
      </c>
      <c r="V16" t="inlineStr">
        <is>
          <t>rubber 3.685 kg + moulding + hardware 4.239 kg + mould 80000/50</t>
        </is>
      </c>
    </row>
    <row r="17">
      <c r="A17" t="inlineStr">
        <is>
          <t>AT-OVTN60-2400</t>
        </is>
      </c>
      <c r="B17" t="inlineStr">
        <is>
          <t>AT-OVTN60-2400</t>
        </is>
      </c>
      <c r="C17" t="inlineStr">
        <is>
          <t>OVTN rubber-coated anti-impact isolator</t>
        </is>
      </c>
      <c r="D17" t="n">
        <v>2400</v>
      </c>
      <c r="E17" t="n">
        <v>305</v>
      </c>
      <c r="F17" t="n">
        <v>229</v>
      </c>
      <c r="G17" t="n">
        <v>546</v>
      </c>
      <c r="H17" s="3" t="n">
        <v>1</v>
      </c>
      <c r="I17" s="3" t="n">
        <v>7.408</v>
      </c>
      <c r="J17">
        <f>ROUND(I17*Policy!$B$16,0)</f>
        <v/>
      </c>
      <c r="K17">
        <f>ROUND(Policy!$B$18+I17*Policy!$B$19,0)</f>
        <v/>
      </c>
      <c r="L17" s="3" t="n">
        <v>7.844</v>
      </c>
      <c r="M17">
        <f>ROUND(MAX(Policy!$B$22,L17*(Policy!$B$20+Policy!$B$21)),0)</f>
        <v/>
      </c>
      <c r="N17">
        <f>IF(E17&lt;=80,Policy!$B$23,IF(E17&lt;=160,Policy!$B$24,Policy!$B$25))</f>
        <v/>
      </c>
      <c r="O17">
        <f>ROUND(N17/(Policy!$B$27*MAX(1,H17)),0)</f>
        <v/>
      </c>
      <c r="P17">
        <f>J17+K17+M17+O17</f>
        <v/>
      </c>
      <c r="Q17">
        <f>Policy!$B$28</f>
        <v/>
      </c>
      <c r="R17">
        <f>CEILING(P17*(1+Q17/100),IF(P17*(1+Q17/100)&lt;10000,50,100))</f>
        <v/>
      </c>
      <c r="S17">
        <f>IF(R17&gt;0,CEILING(R17*(1-Policy!$B$13/100),IF(R17&lt;10000,50,100)),"")</f>
        <v/>
      </c>
      <c r="T17">
        <f>IF(R17&gt;0,ROUNDUP(R17/Policy!$B$14*(1+Policy!$B$15/100),0),"")</f>
        <v/>
      </c>
      <c r="U17" t="inlineStr">
        <is>
          <t>cost</t>
        </is>
      </c>
      <c r="V17" t="inlineStr">
        <is>
          <t>rubber 7.408 kg + moulding + hardware 7.844 kg + mould 80000/50</t>
        </is>
      </c>
    </row>
    <row r="18">
      <c r="A18" t="inlineStr">
        <is>
          <t>AT-OVTN60-1200</t>
        </is>
      </c>
      <c r="B18" t="inlineStr">
        <is>
          <t>AT-OVTN60-1200</t>
        </is>
      </c>
      <c r="C18" t="inlineStr">
        <is>
          <t>OVTN rubber-coated anti-impact isolator</t>
        </is>
      </c>
      <c r="D18" t="n">
        <v>1200</v>
      </c>
      <c r="E18" t="n">
        <v>305</v>
      </c>
      <c r="F18" t="n">
        <v>229</v>
      </c>
      <c r="G18" t="n">
        <v>546</v>
      </c>
      <c r="H18" s="3" t="n">
        <v>1</v>
      </c>
      <c r="I18" s="3" t="n">
        <v>7.408</v>
      </c>
      <c r="J18">
        <f>ROUND(I18*Policy!$B$16,0)</f>
        <v/>
      </c>
      <c r="K18">
        <f>ROUND(Policy!$B$18+I18*Policy!$B$19,0)</f>
        <v/>
      </c>
      <c r="L18" s="3" t="n">
        <v>7.844</v>
      </c>
      <c r="M18">
        <f>ROUND(MAX(Policy!$B$22,L18*(Policy!$B$20+Policy!$B$21)),0)</f>
        <v/>
      </c>
      <c r="N18">
        <f>IF(E18&lt;=80,Policy!$B$23,IF(E18&lt;=160,Policy!$B$24,Policy!$B$25))</f>
        <v/>
      </c>
      <c r="O18">
        <f>ROUND(N18/(Policy!$B$27*MAX(1,H18)),0)</f>
        <v/>
      </c>
      <c r="P18">
        <f>J18+K18+M18+O18</f>
        <v/>
      </c>
      <c r="Q18">
        <f>Policy!$B$28</f>
        <v/>
      </c>
      <c r="R18">
        <f>CEILING(P18*(1+Q18/100),IF(P18*(1+Q18/100)&lt;10000,50,100))</f>
        <v/>
      </c>
      <c r="S18">
        <f>IF(R18&gt;0,CEILING(R18*(1-Policy!$B$13/100),IF(R18&lt;10000,50,100)),"")</f>
        <v/>
      </c>
      <c r="T18">
        <f>IF(R18&gt;0,ROUNDUP(R18/Policy!$B$14*(1+Policy!$B$15/100),0),"")</f>
        <v/>
      </c>
      <c r="U18" t="inlineStr">
        <is>
          <t>cost</t>
        </is>
      </c>
      <c r="V18" t="inlineStr">
        <is>
          <t>rubber 7.408 kg + moulding + hardware 7.844 kg + mould 80000/50</t>
        </is>
      </c>
    </row>
    <row r="19">
      <c r="A19" t="inlineStr">
        <is>
          <t>AT-OVTN60-600</t>
        </is>
      </c>
      <c r="B19" t="inlineStr">
        <is>
          <t>AT-OVTN60-600</t>
        </is>
      </c>
      <c r="C19" t="inlineStr">
        <is>
          <t>OVTN rubber-coated anti-impact isolator</t>
        </is>
      </c>
      <c r="D19" t="n">
        <v>600</v>
      </c>
      <c r="E19" t="n">
        <v>305</v>
      </c>
      <c r="F19" t="n">
        <v>229</v>
      </c>
      <c r="G19" t="n">
        <v>546</v>
      </c>
      <c r="H19" s="3" t="n">
        <v>1</v>
      </c>
      <c r="I19" s="3" t="n">
        <v>7.408</v>
      </c>
      <c r="J19">
        <f>ROUND(I19*Policy!$B$16,0)</f>
        <v/>
      </c>
      <c r="K19">
        <f>ROUND(Policy!$B$18+I19*Policy!$B$19,0)</f>
        <v/>
      </c>
      <c r="L19" s="3" t="n">
        <v>7.844</v>
      </c>
      <c r="M19">
        <f>ROUND(MAX(Policy!$B$22,L19*(Policy!$B$20+Policy!$B$21)),0)</f>
        <v/>
      </c>
      <c r="N19">
        <f>IF(E19&lt;=80,Policy!$B$23,IF(E19&lt;=160,Policy!$B$24,Policy!$B$25))</f>
        <v/>
      </c>
      <c r="O19">
        <f>ROUND(N19/(Policy!$B$27*MAX(1,H19)),0)</f>
        <v/>
      </c>
      <c r="P19">
        <f>J19+K19+M19+O19</f>
        <v/>
      </c>
      <c r="Q19">
        <f>Policy!$B$28</f>
        <v/>
      </c>
      <c r="R19">
        <f>CEILING(P19*(1+Q19/100),IF(P19*(1+Q19/100)&lt;10000,50,100))</f>
        <v/>
      </c>
      <c r="S19">
        <f>IF(R19&gt;0,CEILING(R19*(1-Policy!$B$13/100),IF(R19&lt;10000,50,100)),"")</f>
        <v/>
      </c>
      <c r="T19">
        <f>IF(R19&gt;0,ROUNDUP(R19/Policy!$B$14*(1+Policy!$B$15/100),0),"")</f>
        <v/>
      </c>
      <c r="U19" t="inlineStr">
        <is>
          <t>cost</t>
        </is>
      </c>
      <c r="V19" t="inlineStr">
        <is>
          <t>rubber 7.408 kg + moulding + hardware 7.844 kg + mould 80000/50</t>
        </is>
      </c>
    </row>
    <row r="20">
      <c r="A20" t="inlineStr">
        <is>
          <t>AT-OVTX-25-8</t>
        </is>
      </c>
      <c r="B20" t="inlineStr">
        <is>
          <t>AT-OVTX-25-8</t>
        </is>
      </c>
      <c r="C20" t="inlineStr">
        <is>
          <t>OVTX all-metal (metal rubber) isolator</t>
        </is>
      </c>
      <c r="D20" t="n">
        <v>25</v>
      </c>
      <c r="E20" t="n">
        <v>125</v>
      </c>
      <c r="F20" t="n">
        <v>125</v>
      </c>
      <c r="G20" t="n">
        <v>125</v>
      </c>
      <c r="H20" s="3" t="n">
        <v>4</v>
      </c>
      <c r="I20" s="3" t="n">
        <v>0.679</v>
      </c>
      <c r="J20">
        <f>ROUND(I20*Policy!$B$16,0)</f>
        <v/>
      </c>
      <c r="K20">
        <f>ROUND(Policy!$B$18+I20*Policy!$B$19,0)</f>
        <v/>
      </c>
      <c r="L20" s="3" t="n">
        <v>2.576</v>
      </c>
      <c r="M20">
        <f>ROUND(MAX(Policy!$B$22,L20*(Policy!$B$20+Policy!$B$21)),0)</f>
        <v/>
      </c>
      <c r="N20">
        <f>IF(E20&lt;=80,Policy!$B$23,IF(E20&lt;=160,Policy!$B$24,Policy!$B$25))</f>
        <v/>
      </c>
      <c r="O20">
        <f>ROUND(N20/(Policy!$B$27*MAX(1,H20)),0)</f>
        <v/>
      </c>
      <c r="P20">
        <f>J20+K20+M20+O20</f>
        <v/>
      </c>
      <c r="Q20">
        <f>Policy!$B$28</f>
        <v/>
      </c>
      <c r="R20">
        <f>CEILING(P20*(1+Q20/100),IF(P20*(1+Q20/100)&lt;10000,50,100))</f>
        <v/>
      </c>
      <c r="S20">
        <f>IF(R20&gt;0,CEILING(R20*(1-Policy!$B$13/100),IF(R20&lt;10000,50,100)),"")</f>
        <v/>
      </c>
      <c r="T20">
        <f>IF(R20&gt;0,ROUNDUP(R20/Policy!$B$14*(1+Policy!$B$15/100),0),"")</f>
        <v/>
      </c>
      <c r="U20" t="inlineStr">
        <is>
          <t>cost</t>
        </is>
      </c>
      <c r="V20" t="inlineStr">
        <is>
          <t>rubber 0.679 kg + moulding + hardware 2.576 kg + mould 45000/50</t>
        </is>
      </c>
    </row>
    <row r="21">
      <c r="A21" t="inlineStr">
        <is>
          <t>AT-OVTX-40-6</t>
        </is>
      </c>
      <c r="B21" t="inlineStr">
        <is>
          <t>AT-OVTX-40-6</t>
        </is>
      </c>
      <c r="C21" t="inlineStr">
        <is>
          <t>OVTX all-metal (metal rubber) isolator</t>
        </is>
      </c>
      <c r="D21" t="n">
        <v>40</v>
      </c>
      <c r="E21" t="n">
        <v>125</v>
      </c>
      <c r="F21" t="n">
        <v>125</v>
      </c>
      <c r="G21" t="n">
        <v>125</v>
      </c>
      <c r="H21" s="3" t="n">
        <v>4</v>
      </c>
      <c r="I21" s="3" t="n">
        <v>0.679</v>
      </c>
      <c r="J21">
        <f>ROUND(I21*Policy!$B$16,0)</f>
        <v/>
      </c>
      <c r="K21">
        <f>ROUND(Policy!$B$18+I21*Policy!$B$19,0)</f>
        <v/>
      </c>
      <c r="L21" s="3" t="n">
        <v>2.576</v>
      </c>
      <c r="M21">
        <f>ROUND(MAX(Policy!$B$22,L21*(Policy!$B$20+Policy!$B$21)),0)</f>
        <v/>
      </c>
      <c r="N21">
        <f>IF(E21&lt;=80,Policy!$B$23,IF(E21&lt;=160,Policy!$B$24,Policy!$B$25))</f>
        <v/>
      </c>
      <c r="O21">
        <f>ROUND(N21/(Policy!$B$27*MAX(1,H21)),0)</f>
        <v/>
      </c>
      <c r="P21">
        <f>J21+K21+M21+O21</f>
        <v/>
      </c>
      <c r="Q21">
        <f>Policy!$B$28</f>
        <v/>
      </c>
      <c r="R21">
        <f>CEILING(P21*(1+Q21/100),IF(P21*(1+Q21/100)&lt;10000,50,100))</f>
        <v/>
      </c>
      <c r="S21">
        <f>IF(R21&gt;0,CEILING(R21*(1-Policy!$B$13/100),IF(R21&lt;10000,50,100)),"")</f>
        <v/>
      </c>
      <c r="T21">
        <f>IF(R21&gt;0,ROUNDUP(R21/Policy!$B$14*(1+Policy!$B$15/100),0),"")</f>
        <v/>
      </c>
      <c r="U21" t="inlineStr">
        <is>
          <t>cost</t>
        </is>
      </c>
      <c r="V21" t="inlineStr">
        <is>
          <t>rubber 0.679 kg + moulding + hardware 2.576 kg + mould 45000/50</t>
        </is>
      </c>
    </row>
    <row r="22">
      <c r="A22" t="inlineStr">
        <is>
          <t>AT-OVTX-60-8</t>
        </is>
      </c>
      <c r="B22" t="inlineStr">
        <is>
          <t>AT-OVTX-60-8</t>
        </is>
      </c>
      <c r="C22" t="inlineStr">
        <is>
          <t>OVTX all-metal (metal rubber) isolator</t>
        </is>
      </c>
      <c r="D22" t="n">
        <v>60</v>
      </c>
      <c r="E22" t="n">
        <v>125</v>
      </c>
      <c r="F22" t="n">
        <v>125</v>
      </c>
      <c r="G22" t="n">
        <v>125</v>
      </c>
      <c r="H22" s="3" t="n">
        <v>4</v>
      </c>
      <c r="I22" s="3" t="n">
        <v>0.679</v>
      </c>
      <c r="J22">
        <f>ROUND(I22*Policy!$B$16,0)</f>
        <v/>
      </c>
      <c r="K22">
        <f>ROUND(Policy!$B$18+I22*Policy!$B$19,0)</f>
        <v/>
      </c>
      <c r="L22" s="3" t="n">
        <v>2.576</v>
      </c>
      <c r="M22">
        <f>ROUND(MAX(Policy!$B$22,L22*(Policy!$B$20+Policy!$B$21)),0)</f>
        <v/>
      </c>
      <c r="N22">
        <f>IF(E22&lt;=80,Policy!$B$23,IF(E22&lt;=160,Policy!$B$24,Policy!$B$25))</f>
        <v/>
      </c>
      <c r="O22">
        <f>ROUND(N22/(Policy!$B$27*MAX(1,H22)),0)</f>
        <v/>
      </c>
      <c r="P22">
        <f>J22+K22+M22+O22</f>
        <v/>
      </c>
      <c r="Q22">
        <f>Policy!$B$28</f>
        <v/>
      </c>
      <c r="R22">
        <f>CEILING(P22*(1+Q22/100),IF(P22*(1+Q22/100)&lt;10000,50,100))</f>
        <v/>
      </c>
      <c r="S22">
        <f>IF(R22&gt;0,CEILING(R22*(1-Policy!$B$13/100),IF(R22&lt;10000,50,100)),"")</f>
        <v/>
      </c>
      <c r="T22">
        <f>IF(R22&gt;0,ROUNDUP(R22/Policy!$B$14*(1+Policy!$B$15/100),0),"")</f>
        <v/>
      </c>
      <c r="U22" t="inlineStr">
        <is>
          <t>cost</t>
        </is>
      </c>
      <c r="V22" t="inlineStr">
        <is>
          <t>rubber 0.679 kg + moulding + hardware 2.576 kg + mould 45000/50</t>
        </is>
      </c>
    </row>
    <row r="23">
      <c r="A23" t="inlineStr">
        <is>
          <t>AT-OVTX-85-8</t>
        </is>
      </c>
      <c r="B23" t="inlineStr">
        <is>
          <t>AT-OVTX-85-8</t>
        </is>
      </c>
      <c r="C23" t="inlineStr">
        <is>
          <t>OVTX all-metal (metal rubber) isolator</t>
        </is>
      </c>
      <c r="D23" t="n">
        <v>85</v>
      </c>
      <c r="E23" t="n">
        <v>150</v>
      </c>
      <c r="F23" t="n">
        <v>145.5</v>
      </c>
      <c r="G23" t="n">
        <v>150</v>
      </c>
      <c r="H23" s="3" t="n">
        <v>4</v>
      </c>
      <c r="I23" s="3" t="n">
        <v>1.138</v>
      </c>
      <c r="J23">
        <f>ROUND(I23*Policy!$B$16,0)</f>
        <v/>
      </c>
      <c r="K23">
        <f>ROUND(Policy!$B$18+I23*Policy!$B$19,0)</f>
        <v/>
      </c>
      <c r="L23" s="3" t="n">
        <v>3.709</v>
      </c>
      <c r="M23">
        <f>ROUND(MAX(Policy!$B$22,L23*(Policy!$B$20+Policy!$B$21)),0)</f>
        <v/>
      </c>
      <c r="N23">
        <f>IF(E23&lt;=80,Policy!$B$23,IF(E23&lt;=160,Policy!$B$24,Policy!$B$25))</f>
        <v/>
      </c>
      <c r="O23">
        <f>ROUND(N23/(Policy!$B$27*MAX(1,H23)),0)</f>
        <v/>
      </c>
      <c r="P23">
        <f>J23+K23+M23+O23</f>
        <v/>
      </c>
      <c r="Q23">
        <f>Policy!$B$28</f>
        <v/>
      </c>
      <c r="R23">
        <f>CEILING(P23*(1+Q23/100),IF(P23*(1+Q23/100)&lt;10000,50,100))</f>
        <v/>
      </c>
      <c r="S23">
        <f>IF(R23&gt;0,CEILING(R23*(1-Policy!$B$13/100),IF(R23&lt;10000,50,100)),"")</f>
        <v/>
      </c>
      <c r="T23">
        <f>IF(R23&gt;0,ROUNDUP(R23/Policy!$B$14*(1+Policy!$B$15/100),0),"")</f>
        <v/>
      </c>
      <c r="U23" t="inlineStr">
        <is>
          <t>cost</t>
        </is>
      </c>
      <c r="V23" t="inlineStr">
        <is>
          <t>rubber 1.138 kg + moulding + hardware 3.709 kg + mould 45000/50</t>
        </is>
      </c>
    </row>
    <row r="24">
      <c r="A24" t="inlineStr">
        <is>
          <t>AT-OVTX-100-8</t>
        </is>
      </c>
      <c r="B24" t="inlineStr">
        <is>
          <t>AT-OVTX-100-8</t>
        </is>
      </c>
      <c r="C24" t="inlineStr">
        <is>
          <t>OVTX all-metal (metal rubber) isolator</t>
        </is>
      </c>
      <c r="D24" t="n">
        <v>100</v>
      </c>
      <c r="E24" t="n">
        <v>150</v>
      </c>
      <c r="F24" t="n">
        <v>145.5</v>
      </c>
      <c r="G24" t="n">
        <v>150</v>
      </c>
      <c r="H24" s="3" t="n">
        <v>4</v>
      </c>
      <c r="I24" s="3" t="n">
        <v>1.138</v>
      </c>
      <c r="J24">
        <f>ROUND(I24*Policy!$B$16,0)</f>
        <v/>
      </c>
      <c r="K24">
        <f>ROUND(Policy!$B$18+I24*Policy!$B$19,0)</f>
        <v/>
      </c>
      <c r="L24" s="3" t="n">
        <v>3.709</v>
      </c>
      <c r="M24">
        <f>ROUND(MAX(Policy!$B$22,L24*(Policy!$B$20+Policy!$B$21)),0)</f>
        <v/>
      </c>
      <c r="N24">
        <f>IF(E24&lt;=80,Policy!$B$23,IF(E24&lt;=160,Policy!$B$24,Policy!$B$25))</f>
        <v/>
      </c>
      <c r="O24">
        <f>ROUND(N24/(Policy!$B$27*MAX(1,H24)),0)</f>
        <v/>
      </c>
      <c r="P24">
        <f>J24+K24+M24+O24</f>
        <v/>
      </c>
      <c r="Q24">
        <f>Policy!$B$28</f>
        <v/>
      </c>
      <c r="R24">
        <f>CEILING(P24*(1+Q24/100),IF(P24*(1+Q24/100)&lt;10000,50,100))</f>
        <v/>
      </c>
      <c r="S24">
        <f>IF(R24&gt;0,CEILING(R24*(1-Policy!$B$13/100),IF(R24&lt;10000,50,100)),"")</f>
        <v/>
      </c>
      <c r="T24">
        <f>IF(R24&gt;0,ROUNDUP(R24/Policy!$B$14*(1+Policy!$B$15/100),0),"")</f>
        <v/>
      </c>
      <c r="U24" t="inlineStr">
        <is>
          <t>cost</t>
        </is>
      </c>
      <c r="V24" t="inlineStr">
        <is>
          <t>rubber 1.138 kg + moulding + hardware 3.709 kg + mould 45000/50</t>
        </is>
      </c>
    </row>
    <row r="25">
      <c r="A25" t="inlineStr">
        <is>
          <t>AT-OVTX-100-20</t>
        </is>
      </c>
      <c r="B25" t="inlineStr">
        <is>
          <t>AT-OVTX-100-20</t>
        </is>
      </c>
      <c r="C25" t="inlineStr">
        <is>
          <t>OVTX all-metal (metal rubber) isolator</t>
        </is>
      </c>
      <c r="D25" t="n">
        <v>100</v>
      </c>
      <c r="E25" t="n">
        <v>150</v>
      </c>
      <c r="F25" t="n">
        <v>154.5</v>
      </c>
      <c r="G25" t="n">
        <v>150</v>
      </c>
      <c r="H25" s="3" t="n">
        <v>4</v>
      </c>
      <c r="I25" s="3" t="n">
        <v>1.209</v>
      </c>
      <c r="J25">
        <f>ROUND(I25*Policy!$B$16,0)</f>
        <v/>
      </c>
      <c r="K25">
        <f>ROUND(Policy!$B$18+I25*Policy!$B$19,0)</f>
        <v/>
      </c>
      <c r="L25" s="3" t="n">
        <v>3.709</v>
      </c>
      <c r="M25">
        <f>ROUND(MAX(Policy!$B$22,L25*(Policy!$B$20+Policy!$B$21)),0)</f>
        <v/>
      </c>
      <c r="N25">
        <f>IF(E25&lt;=80,Policy!$B$23,IF(E25&lt;=160,Policy!$B$24,Policy!$B$25))</f>
        <v/>
      </c>
      <c r="O25">
        <f>ROUND(N25/(Policy!$B$27*MAX(1,H25)),0)</f>
        <v/>
      </c>
      <c r="P25">
        <f>J25+K25+M25+O25</f>
        <v/>
      </c>
      <c r="Q25">
        <f>Policy!$B$28</f>
        <v/>
      </c>
      <c r="R25">
        <f>CEILING(P25*(1+Q25/100),IF(P25*(1+Q25/100)&lt;10000,50,100))</f>
        <v/>
      </c>
      <c r="S25">
        <f>IF(R25&gt;0,CEILING(R25*(1-Policy!$B$13/100),IF(R25&lt;10000,50,100)),"")</f>
        <v/>
      </c>
      <c r="T25">
        <f>IF(R25&gt;0,ROUNDUP(R25/Policy!$B$14*(1+Policy!$B$15/100),0),"")</f>
        <v/>
      </c>
      <c r="U25" t="inlineStr">
        <is>
          <t>cost</t>
        </is>
      </c>
      <c r="V25" t="inlineStr">
        <is>
          <t>rubber 1.209 kg + moulding + hardware 3.709 kg + mould 45000/50</t>
        </is>
      </c>
    </row>
    <row r="26">
      <c r="A26" t="inlineStr">
        <is>
          <t>AT-OVTX-150-8</t>
        </is>
      </c>
      <c r="B26" t="inlineStr">
        <is>
          <t>AT-OVTX-150-8</t>
        </is>
      </c>
      <c r="C26" t="inlineStr">
        <is>
          <t>OVTX all-metal (metal rubber) isolator</t>
        </is>
      </c>
      <c r="D26" t="n">
        <v>150</v>
      </c>
      <c r="E26" t="n">
        <v>150</v>
      </c>
      <c r="F26" t="n">
        <v>145.5</v>
      </c>
      <c r="G26" t="n">
        <v>150</v>
      </c>
      <c r="H26" s="3" t="n">
        <v>4</v>
      </c>
      <c r="I26" s="3" t="n">
        <v>1.138</v>
      </c>
      <c r="J26">
        <f>ROUND(I26*Policy!$B$16,0)</f>
        <v/>
      </c>
      <c r="K26">
        <f>ROUND(Policy!$B$18+I26*Policy!$B$19,0)</f>
        <v/>
      </c>
      <c r="L26" s="3" t="n">
        <v>3.709</v>
      </c>
      <c r="M26">
        <f>ROUND(MAX(Policy!$B$22,L26*(Policy!$B$20+Policy!$B$21)),0)</f>
        <v/>
      </c>
      <c r="N26">
        <f>IF(E26&lt;=80,Policy!$B$23,IF(E26&lt;=160,Policy!$B$24,Policy!$B$25))</f>
        <v/>
      </c>
      <c r="O26">
        <f>ROUND(N26/(Policy!$B$27*MAX(1,H26)),0)</f>
        <v/>
      </c>
      <c r="P26">
        <f>J26+K26+M26+O26</f>
        <v/>
      </c>
      <c r="Q26">
        <f>Policy!$B$28</f>
        <v/>
      </c>
      <c r="R26">
        <f>CEILING(P26*(1+Q26/100),IF(P26*(1+Q26/100)&lt;10000,50,100))</f>
        <v/>
      </c>
      <c r="S26">
        <f>IF(R26&gt;0,CEILING(R26*(1-Policy!$B$13/100),IF(R26&lt;10000,50,100)),"")</f>
        <v/>
      </c>
      <c r="T26">
        <f>IF(R26&gt;0,ROUNDUP(R26/Policy!$B$14*(1+Policy!$B$15/100),0),"")</f>
        <v/>
      </c>
      <c r="U26" t="inlineStr">
        <is>
          <t>cost</t>
        </is>
      </c>
      <c r="V26" t="inlineStr">
        <is>
          <t>rubber 1.138 kg + moulding + hardware 3.709 kg + mould 45000/50</t>
        </is>
      </c>
    </row>
    <row r="27">
      <c r="A27" t="inlineStr">
        <is>
          <t>AT-BE3</t>
        </is>
      </c>
      <c r="B27" t="inlineStr">
        <is>
          <t>AT-BE3</t>
        </is>
      </c>
      <c r="C27" t="inlineStr">
        <is>
          <t>Rubber BE shock absorber</t>
        </is>
      </c>
      <c r="D27" t="n">
        <v>3.1</v>
      </c>
      <c r="E27" t="n">
        <v>36</v>
      </c>
      <c r="F27" t="n">
        <v>40</v>
      </c>
      <c r="G27" t="n">
        <v>70</v>
      </c>
      <c r="H27" s="3" t="n">
        <v>8</v>
      </c>
      <c r="I27" s="3" t="n">
        <v>0.026</v>
      </c>
      <c r="J27">
        <f>ROUND(I27*Policy!$B$16,0)</f>
        <v/>
      </c>
      <c r="K27">
        <f>ROUND(Policy!$B$18+I27*Policy!$B$19,0)</f>
        <v/>
      </c>
      <c r="L27" s="3" t="n">
        <v>0.119</v>
      </c>
      <c r="M27">
        <f>ROUND(MAX(Policy!$B$22,L27*(Policy!$B$20+Policy!$B$21)),0)</f>
        <v/>
      </c>
      <c r="N27">
        <f>IF(E27&lt;=80,Policy!$B$23,IF(E27&lt;=160,Policy!$B$24,Policy!$B$25))</f>
        <v/>
      </c>
      <c r="O27">
        <f>ROUND(N27/(Policy!$B$27*MAX(1,H27)),0)</f>
        <v/>
      </c>
      <c r="P27">
        <f>J27+K27+M27+O27</f>
        <v/>
      </c>
      <c r="Q27">
        <f>Policy!$B$28</f>
        <v/>
      </c>
      <c r="R27">
        <f>CEILING(P27*(1+Q27/100),IF(P27*(1+Q27/100)&lt;10000,50,100))</f>
        <v/>
      </c>
      <c r="S27">
        <f>IF(R27&gt;0,CEILING(R27*(1-Policy!$B$13/100),IF(R27&lt;10000,50,100)),"")</f>
        <v/>
      </c>
      <c r="T27">
        <f>IF(R27&gt;0,ROUNDUP(R27/Policy!$B$14*(1+Policy!$B$15/100),0),"")</f>
        <v/>
      </c>
      <c r="U27" t="inlineStr">
        <is>
          <t>cost</t>
        </is>
      </c>
      <c r="V27" t="inlineStr">
        <is>
          <t>rubber 0.026 kg + moulding + hardware 0.119 kg + mould 28000/50</t>
        </is>
      </c>
    </row>
    <row r="28">
      <c r="A28" t="inlineStr">
        <is>
          <t>AT-BE5</t>
        </is>
      </c>
      <c r="B28" t="inlineStr">
        <is>
          <t>AT-BE5</t>
        </is>
      </c>
      <c r="C28" t="inlineStr">
        <is>
          <t>Rubber BE shock absorber</t>
        </is>
      </c>
      <c r="D28" t="n">
        <v>5.1</v>
      </c>
      <c r="E28" t="n">
        <v>36</v>
      </c>
      <c r="F28" t="n">
        <v>40</v>
      </c>
      <c r="G28" t="n">
        <v>70</v>
      </c>
      <c r="H28" s="3" t="n">
        <v>8</v>
      </c>
      <c r="I28" s="3" t="n">
        <v>0.026</v>
      </c>
      <c r="J28">
        <f>ROUND(I28*Policy!$B$16,0)</f>
        <v/>
      </c>
      <c r="K28">
        <f>ROUND(Policy!$B$18+I28*Policy!$B$19,0)</f>
        <v/>
      </c>
      <c r="L28" s="3" t="n">
        <v>0.119</v>
      </c>
      <c r="M28">
        <f>ROUND(MAX(Policy!$B$22,L28*(Policy!$B$20+Policy!$B$21)),0)</f>
        <v/>
      </c>
      <c r="N28">
        <f>IF(E28&lt;=80,Policy!$B$23,IF(E28&lt;=160,Policy!$B$24,Policy!$B$25))</f>
        <v/>
      </c>
      <c r="O28">
        <f>ROUND(N28/(Policy!$B$27*MAX(1,H28)),0)</f>
        <v/>
      </c>
      <c r="P28">
        <f>J28+K28+M28+O28</f>
        <v/>
      </c>
      <c r="Q28">
        <f>Policy!$B$28</f>
        <v/>
      </c>
      <c r="R28">
        <f>CEILING(P28*(1+Q28/100),IF(P28*(1+Q28/100)&lt;10000,50,100))</f>
        <v/>
      </c>
      <c r="S28">
        <f>IF(R28&gt;0,CEILING(R28*(1-Policy!$B$13/100),IF(R28&lt;10000,50,100)),"")</f>
        <v/>
      </c>
      <c r="T28">
        <f>IF(R28&gt;0,ROUNDUP(R28/Policy!$B$14*(1+Policy!$B$15/100),0),"")</f>
        <v/>
      </c>
      <c r="U28" t="inlineStr">
        <is>
          <t>cost</t>
        </is>
      </c>
      <c r="V28" t="inlineStr">
        <is>
          <t>rubber 0.026 kg + moulding + hardware 0.119 kg + mould 28000/50</t>
        </is>
      </c>
    </row>
    <row r="29">
      <c r="A29" t="inlineStr">
        <is>
          <t>AT-BE10</t>
        </is>
      </c>
      <c r="B29" t="inlineStr">
        <is>
          <t>AT-BE10</t>
        </is>
      </c>
      <c r="C29" t="inlineStr">
        <is>
          <t>Rubber BE shock absorber</t>
        </is>
      </c>
      <c r="D29" t="n">
        <v>10.2</v>
      </c>
      <c r="E29" t="n">
        <v>36</v>
      </c>
      <c r="F29" t="n">
        <v>40</v>
      </c>
      <c r="G29" t="n">
        <v>70</v>
      </c>
      <c r="H29" s="3" t="n">
        <v>8</v>
      </c>
      <c r="I29" s="3" t="n">
        <v>0.026</v>
      </c>
      <c r="J29">
        <f>ROUND(I29*Policy!$B$16,0)</f>
        <v/>
      </c>
      <c r="K29">
        <f>ROUND(Policy!$B$18+I29*Policy!$B$19,0)</f>
        <v/>
      </c>
      <c r="L29" s="3" t="n">
        <v>0.119</v>
      </c>
      <c r="M29">
        <f>ROUND(MAX(Policy!$B$22,L29*(Policy!$B$20+Policy!$B$21)),0)</f>
        <v/>
      </c>
      <c r="N29">
        <f>IF(E29&lt;=80,Policy!$B$23,IF(E29&lt;=160,Policy!$B$24,Policy!$B$25))</f>
        <v/>
      </c>
      <c r="O29">
        <f>ROUND(N29/(Policy!$B$27*MAX(1,H29)),0)</f>
        <v/>
      </c>
      <c r="P29">
        <f>J29+K29+M29+O29</f>
        <v/>
      </c>
      <c r="Q29">
        <f>Policy!$B$28</f>
        <v/>
      </c>
      <c r="R29">
        <f>CEILING(P29*(1+Q29/100),IF(P29*(1+Q29/100)&lt;10000,50,100))</f>
        <v/>
      </c>
      <c r="S29">
        <f>IF(R29&gt;0,CEILING(R29*(1-Policy!$B$13/100),IF(R29&lt;10000,50,100)),"")</f>
        <v/>
      </c>
      <c r="T29">
        <f>IF(R29&gt;0,ROUNDUP(R29/Policy!$B$14*(1+Policy!$B$15/100),0),"")</f>
        <v/>
      </c>
      <c r="U29" t="inlineStr">
        <is>
          <t>cost</t>
        </is>
      </c>
      <c r="V29" t="inlineStr">
        <is>
          <t>rubber 0.026 kg + moulding + hardware 0.119 kg + mould 28000/50</t>
        </is>
      </c>
    </row>
    <row r="30">
      <c r="A30" t="inlineStr">
        <is>
          <t>AT-BE15</t>
        </is>
      </c>
      <c r="B30" t="inlineStr">
        <is>
          <t>AT-BE15</t>
        </is>
      </c>
      <c r="C30" t="inlineStr">
        <is>
          <t>Rubber BE shock absorber</t>
        </is>
      </c>
      <c r="D30" t="n">
        <v>15.3</v>
      </c>
      <c r="E30" t="n">
        <v>36</v>
      </c>
      <c r="F30" t="n">
        <v>40</v>
      </c>
      <c r="G30" t="n">
        <v>70</v>
      </c>
      <c r="H30" s="3" t="n">
        <v>8</v>
      </c>
      <c r="I30" s="3" t="n">
        <v>0.026</v>
      </c>
      <c r="J30">
        <f>ROUND(I30*Policy!$B$16,0)</f>
        <v/>
      </c>
      <c r="K30">
        <f>ROUND(Policy!$B$18+I30*Policy!$B$19,0)</f>
        <v/>
      </c>
      <c r="L30" s="3" t="n">
        <v>0.119</v>
      </c>
      <c r="M30">
        <f>ROUND(MAX(Policy!$B$22,L30*(Policy!$B$20+Policy!$B$21)),0)</f>
        <v/>
      </c>
      <c r="N30">
        <f>IF(E30&lt;=80,Policy!$B$23,IF(E30&lt;=160,Policy!$B$24,Policy!$B$25))</f>
        <v/>
      </c>
      <c r="O30">
        <f>ROUND(N30/(Policy!$B$27*MAX(1,H30)),0)</f>
        <v/>
      </c>
      <c r="P30">
        <f>J30+K30+M30+O30</f>
        <v/>
      </c>
      <c r="Q30">
        <f>Policy!$B$28</f>
        <v/>
      </c>
      <c r="R30">
        <f>CEILING(P30*(1+Q30/100),IF(P30*(1+Q30/100)&lt;10000,50,100))</f>
        <v/>
      </c>
      <c r="S30">
        <f>IF(R30&gt;0,CEILING(R30*(1-Policy!$B$13/100),IF(R30&lt;10000,50,100)),"")</f>
        <v/>
      </c>
      <c r="T30">
        <f>IF(R30&gt;0,ROUNDUP(R30/Policy!$B$14*(1+Policy!$B$15/100),0),"")</f>
        <v/>
      </c>
      <c r="U30" t="inlineStr">
        <is>
          <t>cost</t>
        </is>
      </c>
      <c r="V30" t="inlineStr">
        <is>
          <t>rubber 0.026 kg + moulding + hardware 0.119 kg + mould 28000/50</t>
        </is>
      </c>
    </row>
    <row r="31">
      <c r="A31" t="inlineStr">
        <is>
          <t>AT-BE25</t>
        </is>
      </c>
      <c r="B31" t="inlineStr">
        <is>
          <t>AT-BE25</t>
        </is>
      </c>
      <c r="C31" t="inlineStr">
        <is>
          <t>Rubber BE shock absorber</t>
        </is>
      </c>
      <c r="D31" t="n">
        <v>25.5</v>
      </c>
      <c r="E31" t="n">
        <v>40</v>
      </c>
      <c r="F31" t="n">
        <v>40</v>
      </c>
      <c r="G31" t="n">
        <v>70</v>
      </c>
      <c r="H31" s="3" t="n">
        <v>8</v>
      </c>
      <c r="I31" s="3" t="n">
        <v>0.032</v>
      </c>
      <c r="J31">
        <f>ROUND(I31*Policy!$B$16,0)</f>
        <v/>
      </c>
      <c r="K31">
        <f>ROUND(Policy!$B$18+I31*Policy!$B$19,0)</f>
        <v/>
      </c>
      <c r="L31" s="3" t="n">
        <v>0.132</v>
      </c>
      <c r="M31">
        <f>ROUND(MAX(Policy!$B$22,L31*(Policy!$B$20+Policy!$B$21)),0)</f>
        <v/>
      </c>
      <c r="N31">
        <f>IF(E31&lt;=80,Policy!$B$23,IF(E31&lt;=160,Policy!$B$24,Policy!$B$25))</f>
        <v/>
      </c>
      <c r="O31">
        <f>ROUND(N31/(Policy!$B$27*MAX(1,H31)),0)</f>
        <v/>
      </c>
      <c r="P31">
        <f>J31+K31+M31+O31</f>
        <v/>
      </c>
      <c r="Q31">
        <f>Policy!$B$28</f>
        <v/>
      </c>
      <c r="R31">
        <f>CEILING(P31*(1+Q31/100),IF(P31*(1+Q31/100)&lt;10000,50,100))</f>
        <v/>
      </c>
      <c r="S31">
        <f>IF(R31&gt;0,CEILING(R31*(1-Policy!$B$13/100),IF(R31&lt;10000,50,100)),"")</f>
        <v/>
      </c>
      <c r="T31">
        <f>IF(R31&gt;0,ROUNDUP(R31/Policy!$B$14*(1+Policy!$B$15/100),0),"")</f>
        <v/>
      </c>
      <c r="U31" t="inlineStr">
        <is>
          <t>cost</t>
        </is>
      </c>
      <c r="V31" t="inlineStr">
        <is>
          <t>rubber 0.032 kg + moulding + hardware 0.132 kg + mould 28000/50</t>
        </is>
      </c>
    </row>
    <row r="32">
      <c r="A32" t="inlineStr">
        <is>
          <t>AT-BE40</t>
        </is>
      </c>
      <c r="B32" t="inlineStr">
        <is>
          <t>AT-BE40</t>
        </is>
      </c>
      <c r="C32" t="inlineStr">
        <is>
          <t>Rubber BE shock absorber</t>
        </is>
      </c>
      <c r="D32" t="n">
        <v>40.8</v>
      </c>
      <c r="E32" t="n">
        <v>55</v>
      </c>
      <c r="F32" t="n">
        <v>46</v>
      </c>
      <c r="G32" t="n">
        <v>85</v>
      </c>
      <c r="H32" s="3" t="n">
        <v>8</v>
      </c>
      <c r="I32" s="3" t="n">
        <v>0.06900000000000001</v>
      </c>
      <c r="J32">
        <f>ROUND(I32*Policy!$B$16,0)</f>
        <v/>
      </c>
      <c r="K32">
        <f>ROUND(Policy!$B$18+I32*Policy!$B$19,0)</f>
        <v/>
      </c>
      <c r="L32" s="3" t="n">
        <v>0.22</v>
      </c>
      <c r="M32">
        <f>ROUND(MAX(Policy!$B$22,L32*(Policy!$B$20+Policy!$B$21)),0)</f>
        <v/>
      </c>
      <c r="N32">
        <f>IF(E32&lt;=80,Policy!$B$23,IF(E32&lt;=160,Policy!$B$24,Policy!$B$25))</f>
        <v/>
      </c>
      <c r="O32">
        <f>ROUND(N32/(Policy!$B$27*MAX(1,H32)),0)</f>
        <v/>
      </c>
      <c r="P32">
        <f>J32+K32+M32+O32</f>
        <v/>
      </c>
      <c r="Q32">
        <f>Policy!$B$28</f>
        <v/>
      </c>
      <c r="R32">
        <f>CEILING(P32*(1+Q32/100),IF(P32*(1+Q32/100)&lt;10000,50,100))</f>
        <v/>
      </c>
      <c r="S32">
        <f>IF(R32&gt;0,CEILING(R32*(1-Policy!$B$13/100),IF(R32&lt;10000,50,100)),"")</f>
        <v/>
      </c>
      <c r="T32">
        <f>IF(R32&gt;0,ROUNDUP(R32/Policy!$B$14*(1+Policy!$B$15/100),0),"")</f>
        <v/>
      </c>
      <c r="U32" t="inlineStr">
        <is>
          <t>cost</t>
        </is>
      </c>
      <c r="V32" t="inlineStr">
        <is>
          <t>rubber 0.069 kg + moulding + hardware 0.22 kg + mould 28000/50</t>
        </is>
      </c>
    </row>
    <row r="33">
      <c r="A33" t="inlineStr">
        <is>
          <t>AT-BE60</t>
        </is>
      </c>
      <c r="B33" t="inlineStr">
        <is>
          <t>AT-BE60</t>
        </is>
      </c>
      <c r="C33" t="inlineStr">
        <is>
          <t>Rubber BE shock absorber</t>
        </is>
      </c>
      <c r="D33" t="n">
        <v>61.2</v>
      </c>
      <c r="E33" t="n">
        <v>65</v>
      </c>
      <c r="F33" t="n">
        <v>50</v>
      </c>
      <c r="G33" t="n">
        <v>100</v>
      </c>
      <c r="H33" s="3" t="n">
        <v>8</v>
      </c>
      <c r="I33" s="3" t="n">
        <v>0.105</v>
      </c>
      <c r="J33">
        <f>ROUND(I33*Policy!$B$16,0)</f>
        <v/>
      </c>
      <c r="K33">
        <f>ROUND(Policy!$B$18+I33*Policy!$B$19,0)</f>
        <v/>
      </c>
      <c r="L33" s="3" t="n">
        <v>0.306</v>
      </c>
      <c r="M33">
        <f>ROUND(MAX(Policy!$B$22,L33*(Policy!$B$20+Policy!$B$21)),0)</f>
        <v/>
      </c>
      <c r="N33">
        <f>IF(E33&lt;=80,Policy!$B$23,IF(E33&lt;=160,Policy!$B$24,Policy!$B$25))</f>
        <v/>
      </c>
      <c r="O33">
        <f>ROUND(N33/(Policy!$B$27*MAX(1,H33)),0)</f>
        <v/>
      </c>
      <c r="P33">
        <f>J33+K33+M33+O33</f>
        <v/>
      </c>
      <c r="Q33">
        <f>Policy!$B$28</f>
        <v/>
      </c>
      <c r="R33">
        <f>CEILING(P33*(1+Q33/100),IF(P33*(1+Q33/100)&lt;10000,50,100))</f>
        <v/>
      </c>
      <c r="S33">
        <f>IF(R33&gt;0,CEILING(R33*(1-Policy!$B$13/100),IF(R33&lt;10000,50,100)),"")</f>
        <v/>
      </c>
      <c r="T33">
        <f>IF(R33&gt;0,ROUNDUP(R33/Policy!$B$14*(1+Policy!$B$15/100),0),"")</f>
        <v/>
      </c>
      <c r="U33" t="inlineStr">
        <is>
          <t>cost</t>
        </is>
      </c>
      <c r="V33" t="inlineStr">
        <is>
          <t>rubber 0.105 kg + moulding + hardware 0.306 kg + mould 28000/50</t>
        </is>
      </c>
    </row>
    <row r="34">
      <c r="A34" t="inlineStr">
        <is>
          <t>AT-BE85</t>
        </is>
      </c>
      <c r="B34" t="inlineStr">
        <is>
          <t>AT-BE85</t>
        </is>
      </c>
      <c r="C34" t="inlineStr">
        <is>
          <t>Rubber BE shock absorber</t>
        </is>
      </c>
      <c r="D34" t="n">
        <v>86.59999999999999</v>
      </c>
      <c r="E34" t="n">
        <v>70</v>
      </c>
      <c r="F34" t="n">
        <v>60</v>
      </c>
      <c r="G34" t="n">
        <v>120</v>
      </c>
      <c r="H34" s="3" t="n">
        <v>8</v>
      </c>
      <c r="I34" s="3" t="n">
        <v>0.146</v>
      </c>
      <c r="J34">
        <f>ROUND(I34*Policy!$B$16,0)</f>
        <v/>
      </c>
      <c r="K34">
        <f>ROUND(Policy!$B$18+I34*Policy!$B$19,0)</f>
        <v/>
      </c>
      <c r="L34" s="3" t="n">
        <v>0.396</v>
      </c>
      <c r="M34">
        <f>ROUND(MAX(Policy!$B$22,L34*(Policy!$B$20+Policy!$B$21)),0)</f>
        <v/>
      </c>
      <c r="N34">
        <f>IF(E34&lt;=80,Policy!$B$23,IF(E34&lt;=160,Policy!$B$24,Policy!$B$25))</f>
        <v/>
      </c>
      <c r="O34">
        <f>ROUND(N34/(Policy!$B$27*MAX(1,H34)),0)</f>
        <v/>
      </c>
      <c r="P34">
        <f>J34+K34+M34+O34</f>
        <v/>
      </c>
      <c r="Q34">
        <f>Policy!$B$28</f>
        <v/>
      </c>
      <c r="R34">
        <f>CEILING(P34*(1+Q34/100),IF(P34*(1+Q34/100)&lt;10000,50,100))</f>
        <v/>
      </c>
      <c r="S34">
        <f>IF(R34&gt;0,CEILING(R34*(1-Policy!$B$13/100),IF(R34&lt;10000,50,100)),"")</f>
        <v/>
      </c>
      <c r="T34">
        <f>IF(R34&gt;0,ROUNDUP(R34/Policy!$B$14*(1+Policy!$B$15/100),0),"")</f>
        <v/>
      </c>
      <c r="U34" t="inlineStr">
        <is>
          <t>cost</t>
        </is>
      </c>
      <c r="V34" t="inlineStr">
        <is>
          <t>rubber 0.146 kg + moulding + hardware 0.396 kg + mould 28000/50</t>
        </is>
      </c>
    </row>
    <row r="35">
      <c r="A35" t="inlineStr">
        <is>
          <t>AT-BE120</t>
        </is>
      </c>
      <c r="B35" t="inlineStr">
        <is>
          <t>AT-BE120</t>
        </is>
      </c>
      <c r="C35" t="inlineStr">
        <is>
          <t>Rubber BE shock absorber</t>
        </is>
      </c>
      <c r="D35" t="n">
        <v>122.3</v>
      </c>
      <c r="E35" t="n">
        <v>85</v>
      </c>
      <c r="F35" t="n">
        <v>60</v>
      </c>
      <c r="G35" t="n">
        <v>140</v>
      </c>
      <c r="H35" s="3" t="n">
        <v>4</v>
      </c>
      <c r="I35" s="3" t="n">
        <v>0.215</v>
      </c>
      <c r="J35">
        <f>ROUND(I35*Policy!$B$16,0)</f>
        <v/>
      </c>
      <c r="K35">
        <f>ROUND(Policy!$B$18+I35*Policy!$B$19,0)</f>
        <v/>
      </c>
      <c r="L35" s="3" t="n">
        <v>0.5600000000000001</v>
      </c>
      <c r="M35">
        <f>ROUND(MAX(Policy!$B$22,L35*(Policy!$B$20+Policy!$B$21)),0)</f>
        <v/>
      </c>
      <c r="N35">
        <f>IF(E35&lt;=80,Policy!$B$23,IF(E35&lt;=160,Policy!$B$24,Policy!$B$25))</f>
        <v/>
      </c>
      <c r="O35">
        <f>ROUND(N35/(Policy!$B$27*MAX(1,H35)),0)</f>
        <v/>
      </c>
      <c r="P35">
        <f>J35+K35+M35+O35</f>
        <v/>
      </c>
      <c r="Q35">
        <f>Policy!$B$28</f>
        <v/>
      </c>
      <c r="R35">
        <f>CEILING(P35*(1+Q35/100),IF(P35*(1+Q35/100)&lt;10000,50,100))</f>
        <v/>
      </c>
      <c r="S35">
        <f>IF(R35&gt;0,CEILING(R35*(1-Policy!$B$13/100),IF(R35&lt;10000,50,100)),"")</f>
        <v/>
      </c>
      <c r="T35">
        <f>IF(R35&gt;0,ROUNDUP(R35/Policy!$B$14*(1+Policy!$B$15/100),0),"")</f>
        <v/>
      </c>
      <c r="U35" t="inlineStr">
        <is>
          <t>cost</t>
        </is>
      </c>
      <c r="V35" t="inlineStr">
        <is>
          <t>rubber 0.215 kg + moulding + hardware 0.56 kg + mould 45000/50</t>
        </is>
      </c>
    </row>
    <row r="36">
      <c r="A36" t="inlineStr">
        <is>
          <t>AT-BE160</t>
        </is>
      </c>
      <c r="B36" t="inlineStr">
        <is>
          <t>AT-BE160</t>
        </is>
      </c>
      <c r="C36" t="inlineStr">
        <is>
          <t>Rubber BE shock absorber</t>
        </is>
      </c>
      <c r="D36" t="n">
        <v>163.1</v>
      </c>
      <c r="E36" t="n">
        <v>90</v>
      </c>
      <c r="F36" t="n">
        <v>62</v>
      </c>
      <c r="G36" t="n">
        <v>145</v>
      </c>
      <c r="H36" s="3" t="n">
        <v>4</v>
      </c>
      <c r="I36" s="3" t="n">
        <v>0.249</v>
      </c>
      <c r="J36">
        <f>ROUND(I36*Policy!$B$16,0)</f>
        <v/>
      </c>
      <c r="K36">
        <f>ROUND(Policy!$B$18+I36*Policy!$B$19,0)</f>
        <v/>
      </c>
      <c r="L36" s="3" t="n">
        <v>0.615</v>
      </c>
      <c r="M36">
        <f>ROUND(MAX(Policy!$B$22,L36*(Policy!$B$20+Policy!$B$21)),0)</f>
        <v/>
      </c>
      <c r="N36">
        <f>IF(E36&lt;=80,Policy!$B$23,IF(E36&lt;=160,Policy!$B$24,Policy!$B$25))</f>
        <v/>
      </c>
      <c r="O36">
        <f>ROUND(N36/(Policy!$B$27*MAX(1,H36)),0)</f>
        <v/>
      </c>
      <c r="P36">
        <f>J36+K36+M36+O36</f>
        <v/>
      </c>
      <c r="Q36">
        <f>Policy!$B$28</f>
        <v/>
      </c>
      <c r="R36">
        <f>CEILING(P36*(1+Q36/100),IF(P36*(1+Q36/100)&lt;10000,50,100))</f>
        <v/>
      </c>
      <c r="S36">
        <f>IF(R36&gt;0,CEILING(R36*(1-Policy!$B$13/100),IF(R36&lt;10000,50,100)),"")</f>
        <v/>
      </c>
      <c r="T36">
        <f>IF(R36&gt;0,ROUNDUP(R36/Policy!$B$14*(1+Policy!$B$15/100),0),"")</f>
        <v/>
      </c>
      <c r="U36" t="inlineStr">
        <is>
          <t>cost</t>
        </is>
      </c>
      <c r="V36" t="inlineStr">
        <is>
          <t>rubber 0.249 kg + moulding + hardware 0.615 kg + mould 45000/50</t>
        </is>
      </c>
    </row>
    <row r="37">
      <c r="A37" t="inlineStr">
        <is>
          <t>AT-BE220</t>
        </is>
      </c>
      <c r="B37" t="inlineStr">
        <is>
          <t>AT-BE220</t>
        </is>
      </c>
      <c r="C37" t="inlineStr">
        <is>
          <t>Rubber BE shock absorber</t>
        </is>
      </c>
      <c r="D37" t="n">
        <v>224.3</v>
      </c>
      <c r="E37" t="n">
        <v>105</v>
      </c>
      <c r="F37" t="n">
        <v>70</v>
      </c>
      <c r="G37" t="n">
        <v>150</v>
      </c>
      <c r="H37" s="3" t="n">
        <v>4</v>
      </c>
      <c r="I37" s="3" t="n">
        <v>0.383</v>
      </c>
      <c r="J37">
        <f>ROUND(I37*Policy!$B$16,0)</f>
        <v/>
      </c>
      <c r="K37">
        <f>ROUND(Policy!$B$18+I37*Policy!$B$19,0)</f>
        <v/>
      </c>
      <c r="L37" s="3" t="n">
        <v>0.742</v>
      </c>
      <c r="M37">
        <f>ROUND(MAX(Policy!$B$22,L37*(Policy!$B$20+Policy!$B$21)),0)</f>
        <v/>
      </c>
      <c r="N37">
        <f>IF(E37&lt;=80,Policy!$B$23,IF(E37&lt;=160,Policy!$B$24,Policy!$B$25))</f>
        <v/>
      </c>
      <c r="O37">
        <f>ROUND(N37/(Policy!$B$27*MAX(1,H37)),0)</f>
        <v/>
      </c>
      <c r="P37">
        <f>J37+K37+M37+O37</f>
        <v/>
      </c>
      <c r="Q37">
        <f>Policy!$B$28</f>
        <v/>
      </c>
      <c r="R37">
        <f>CEILING(P37*(1+Q37/100),IF(P37*(1+Q37/100)&lt;10000,50,100))</f>
        <v/>
      </c>
      <c r="S37">
        <f>IF(R37&gt;0,CEILING(R37*(1-Policy!$B$13/100),IF(R37&lt;10000,50,100)),"")</f>
        <v/>
      </c>
      <c r="T37">
        <f>IF(R37&gt;0,ROUNDUP(R37/Policy!$B$14*(1+Policy!$B$15/100),0),"")</f>
        <v/>
      </c>
      <c r="U37" t="inlineStr">
        <is>
          <t>cost</t>
        </is>
      </c>
      <c r="V37" t="inlineStr">
        <is>
          <t>rubber 0.383 kg + moulding + hardware 0.742 kg + mould 45000/50</t>
        </is>
      </c>
    </row>
    <row r="38">
      <c r="A38" t="inlineStr">
        <is>
          <t>AT-BE300</t>
        </is>
      </c>
      <c r="B38" t="inlineStr">
        <is>
          <t>AT-BE300</t>
        </is>
      </c>
      <c r="C38" t="inlineStr">
        <is>
          <t>Rubber BE shock absorber</t>
        </is>
      </c>
      <c r="D38" t="n">
        <v>305.8</v>
      </c>
      <c r="E38" t="n">
        <v>115</v>
      </c>
      <c r="F38" t="n">
        <v>75</v>
      </c>
      <c r="G38" t="n">
        <v>155</v>
      </c>
      <c r="H38" s="3" t="n">
        <v>4</v>
      </c>
      <c r="I38" s="3" t="n">
        <v>0.493</v>
      </c>
      <c r="J38">
        <f>ROUND(I38*Policy!$B$16,0)</f>
        <v/>
      </c>
      <c r="K38">
        <f>ROUND(Policy!$B$18+I38*Policy!$B$19,0)</f>
        <v/>
      </c>
      <c r="L38" s="3" t="n">
        <v>0.84</v>
      </c>
      <c r="M38">
        <f>ROUND(MAX(Policy!$B$22,L38*(Policy!$B$20+Policy!$B$21)),0)</f>
        <v/>
      </c>
      <c r="N38">
        <f>IF(E38&lt;=80,Policy!$B$23,IF(E38&lt;=160,Policy!$B$24,Policy!$B$25))</f>
        <v/>
      </c>
      <c r="O38">
        <f>ROUND(N38/(Policy!$B$27*MAX(1,H38)),0)</f>
        <v/>
      </c>
      <c r="P38">
        <f>J38+K38+M38+O38</f>
        <v/>
      </c>
      <c r="Q38">
        <f>Policy!$B$28</f>
        <v/>
      </c>
      <c r="R38">
        <f>CEILING(P38*(1+Q38/100),IF(P38*(1+Q38/100)&lt;10000,50,100))</f>
        <v/>
      </c>
      <c r="S38">
        <f>IF(R38&gt;0,CEILING(R38*(1-Policy!$B$13/100),IF(R38&lt;10000,50,100)),"")</f>
        <v/>
      </c>
      <c r="T38">
        <f>IF(R38&gt;0,ROUNDUP(R38/Policy!$B$14*(1+Policy!$B$15/100),0),"")</f>
        <v/>
      </c>
      <c r="U38" t="inlineStr">
        <is>
          <t>cost</t>
        </is>
      </c>
      <c r="V38" t="inlineStr">
        <is>
          <t>rubber 0.493 kg + moulding + hardware 0.84 kg + mould 45000/50</t>
        </is>
      </c>
    </row>
    <row r="39">
      <c r="A39" t="inlineStr">
        <is>
          <t>AT-BE400</t>
        </is>
      </c>
      <c r="B39" t="inlineStr">
        <is>
          <t>AT-BE400</t>
        </is>
      </c>
      <c r="C39" t="inlineStr">
        <is>
          <t>Rubber BE shock absorber</t>
        </is>
      </c>
      <c r="D39" t="n">
        <v>407.7</v>
      </c>
      <c r="E39" t="n">
        <v>120</v>
      </c>
      <c r="F39" t="n">
        <v>80</v>
      </c>
      <c r="G39" t="n">
        <v>175</v>
      </c>
      <c r="H39" s="3" t="n">
        <v>4</v>
      </c>
      <c r="I39" s="3" t="n">
        <v>0.572</v>
      </c>
      <c r="J39">
        <f>ROUND(I39*Policy!$B$16,0)</f>
        <v/>
      </c>
      <c r="K39">
        <f>ROUND(Policy!$B$18+I39*Policy!$B$19,0)</f>
        <v/>
      </c>
      <c r="L39" s="3" t="n">
        <v>0.989</v>
      </c>
      <c r="M39">
        <f>ROUND(MAX(Policy!$B$22,L39*(Policy!$B$20+Policy!$B$21)),0)</f>
        <v/>
      </c>
      <c r="N39">
        <f>IF(E39&lt;=80,Policy!$B$23,IF(E39&lt;=160,Policy!$B$24,Policy!$B$25))</f>
        <v/>
      </c>
      <c r="O39">
        <f>ROUND(N39/(Policy!$B$27*MAX(1,H39)),0)</f>
        <v/>
      </c>
      <c r="P39">
        <f>J39+K39+M39+O39</f>
        <v/>
      </c>
      <c r="Q39">
        <f>Policy!$B$28</f>
        <v/>
      </c>
      <c r="R39">
        <f>CEILING(P39*(1+Q39/100),IF(P39*(1+Q39/100)&lt;10000,50,100))</f>
        <v/>
      </c>
      <c r="S39">
        <f>IF(R39&gt;0,CEILING(R39*(1-Policy!$B$13/100),IF(R39&lt;10000,50,100)),"")</f>
        <v/>
      </c>
      <c r="T39">
        <f>IF(R39&gt;0,ROUNDUP(R39/Policy!$B$14*(1+Policy!$B$15/100),0),"")</f>
        <v/>
      </c>
      <c r="U39" t="inlineStr">
        <is>
          <t>cost</t>
        </is>
      </c>
      <c r="V39" t="inlineStr">
        <is>
          <t>rubber 0.572 kg + moulding + hardware 0.989 kg + mould 45000/50</t>
        </is>
      </c>
    </row>
    <row r="40">
      <c r="A40" t="inlineStr">
        <is>
          <t>AT-B1-1</t>
        </is>
      </c>
      <c r="B40" t="inlineStr">
        <is>
          <t>AT-B1-1</t>
        </is>
      </c>
      <c r="C40" t="inlineStr">
        <is>
          <t>Rubber B reinforced shock absorber</t>
        </is>
      </c>
      <c r="D40" t="n">
        <v>0.5</v>
      </c>
      <c r="E40" t="n">
        <v>32</v>
      </c>
      <c r="F40" t="n">
        <v>62.2</v>
      </c>
      <c r="G40" t="n">
        <v>32</v>
      </c>
      <c r="H40" s="3" t="n">
        <v>8</v>
      </c>
      <c r="I40" s="3" t="n">
        <v>0.032</v>
      </c>
      <c r="J40">
        <f>ROUND(I40*Policy!$B$16,0)</f>
        <v/>
      </c>
      <c r="K40">
        <f>ROUND(Policy!$B$18+I40*Policy!$B$19,0)</f>
        <v/>
      </c>
      <c r="L40" s="3" t="n">
        <v>0.048</v>
      </c>
      <c r="M40">
        <f>ROUND(MAX(Policy!$B$22,L40*(Policy!$B$20+Policy!$B$21)),0)</f>
        <v/>
      </c>
      <c r="N40">
        <f>IF(E40&lt;=80,Policy!$B$23,IF(E40&lt;=160,Policy!$B$24,Policy!$B$25))</f>
        <v/>
      </c>
      <c r="O40">
        <f>ROUND(N40/(Policy!$B$27*MAX(1,H40)),0)</f>
        <v/>
      </c>
      <c r="P40">
        <f>J40+K40+M40+O40</f>
        <v/>
      </c>
      <c r="Q40">
        <f>Policy!$B$28</f>
        <v/>
      </c>
      <c r="R40">
        <f>CEILING(P40*(1+Q40/100),IF(P40*(1+Q40/100)&lt;10000,50,100))</f>
        <v/>
      </c>
      <c r="S40">
        <f>IF(R40&gt;0,CEILING(R40*(1-Policy!$B$13/100),IF(R40&lt;10000,50,100)),"")</f>
        <v/>
      </c>
      <c r="T40">
        <f>IF(R40&gt;0,ROUNDUP(R40/Policy!$B$14*(1+Policy!$B$15/100),0),"")</f>
        <v/>
      </c>
      <c r="U40" t="inlineStr">
        <is>
          <t>cost</t>
        </is>
      </c>
      <c r="V40" t="inlineStr">
        <is>
          <t>rubber 0.032 kg + moulding + hardware 0.048 kg + mould 28000/50</t>
        </is>
      </c>
    </row>
    <row r="41">
      <c r="A41" t="inlineStr">
        <is>
          <t>AT-B1-2</t>
        </is>
      </c>
      <c r="B41" t="inlineStr">
        <is>
          <t>AT-B1-2</t>
        </is>
      </c>
      <c r="C41" t="inlineStr">
        <is>
          <t>Rubber B reinforced shock absorber</t>
        </is>
      </c>
      <c r="D41" t="n">
        <v>0.9</v>
      </c>
      <c r="E41" t="n">
        <v>32</v>
      </c>
      <c r="F41" t="n">
        <v>62.2</v>
      </c>
      <c r="G41" t="n">
        <v>32</v>
      </c>
      <c r="H41" s="3" t="n">
        <v>8</v>
      </c>
      <c r="I41" s="3" t="n">
        <v>0.032</v>
      </c>
      <c r="J41">
        <f>ROUND(I41*Policy!$B$16,0)</f>
        <v/>
      </c>
      <c r="K41">
        <f>ROUND(Policy!$B$18+I41*Policy!$B$19,0)</f>
        <v/>
      </c>
      <c r="L41" s="3" t="n">
        <v>0.048</v>
      </c>
      <c r="M41">
        <f>ROUND(MAX(Policy!$B$22,L41*(Policy!$B$20+Policy!$B$21)),0)</f>
        <v/>
      </c>
      <c r="N41">
        <f>IF(E41&lt;=80,Policy!$B$23,IF(E41&lt;=160,Policy!$B$24,Policy!$B$25))</f>
        <v/>
      </c>
      <c r="O41">
        <f>ROUND(N41/(Policy!$B$27*MAX(1,H41)),0)</f>
        <v/>
      </c>
      <c r="P41">
        <f>J41+K41+M41+O41</f>
        <v/>
      </c>
      <c r="Q41">
        <f>Policy!$B$28</f>
        <v/>
      </c>
      <c r="R41">
        <f>CEILING(P41*(1+Q41/100),IF(P41*(1+Q41/100)&lt;10000,50,100))</f>
        <v/>
      </c>
      <c r="S41">
        <f>IF(R41&gt;0,CEILING(R41*(1-Policy!$B$13/100),IF(R41&lt;10000,50,100)),"")</f>
        <v/>
      </c>
      <c r="T41">
        <f>IF(R41&gt;0,ROUNDUP(R41/Policy!$B$14*(1+Policy!$B$15/100),0),"")</f>
        <v/>
      </c>
      <c r="U41" t="inlineStr">
        <is>
          <t>cost</t>
        </is>
      </c>
      <c r="V41" t="inlineStr">
        <is>
          <t>rubber 0.032 kg + moulding + hardware 0.048 kg + mould 28000/50</t>
        </is>
      </c>
    </row>
    <row r="42">
      <c r="A42" t="inlineStr">
        <is>
          <t>AT-B1-3</t>
        </is>
      </c>
      <c r="B42" t="inlineStr">
        <is>
          <t>AT-B1-3</t>
        </is>
      </c>
      <c r="C42" t="inlineStr">
        <is>
          <t>Rubber B reinforced shock absorber</t>
        </is>
      </c>
      <c r="D42" t="n">
        <v>1.4</v>
      </c>
      <c r="E42" t="n">
        <v>32</v>
      </c>
      <c r="F42" t="n">
        <v>62.2</v>
      </c>
      <c r="G42" t="n">
        <v>32</v>
      </c>
      <c r="H42" s="3" t="n">
        <v>8</v>
      </c>
      <c r="I42" s="3" t="n">
        <v>0.032</v>
      </c>
      <c r="J42">
        <f>ROUND(I42*Policy!$B$16,0)</f>
        <v/>
      </c>
      <c r="K42">
        <f>ROUND(Policy!$B$18+I42*Policy!$B$19,0)</f>
        <v/>
      </c>
      <c r="L42" s="3" t="n">
        <v>0.048</v>
      </c>
      <c r="M42">
        <f>ROUND(MAX(Policy!$B$22,L42*(Policy!$B$20+Policy!$B$21)),0)</f>
        <v/>
      </c>
      <c r="N42">
        <f>IF(E42&lt;=80,Policy!$B$23,IF(E42&lt;=160,Policy!$B$24,Policy!$B$25))</f>
        <v/>
      </c>
      <c r="O42">
        <f>ROUND(N42/(Policy!$B$27*MAX(1,H42)),0)</f>
        <v/>
      </c>
      <c r="P42">
        <f>J42+K42+M42+O42</f>
        <v/>
      </c>
      <c r="Q42">
        <f>Policy!$B$28</f>
        <v/>
      </c>
      <c r="R42">
        <f>CEILING(P42*(1+Q42/100),IF(P42*(1+Q42/100)&lt;10000,50,100))</f>
        <v/>
      </c>
      <c r="S42">
        <f>IF(R42&gt;0,CEILING(R42*(1-Policy!$B$13/100),IF(R42&lt;10000,50,100)),"")</f>
        <v/>
      </c>
      <c r="T42">
        <f>IF(R42&gt;0,ROUNDUP(R42/Policy!$B$14*(1+Policy!$B$15/100),0),"")</f>
        <v/>
      </c>
      <c r="U42" t="inlineStr">
        <is>
          <t>cost</t>
        </is>
      </c>
      <c r="V42" t="inlineStr">
        <is>
          <t>rubber 0.032 kg + moulding + hardware 0.048 kg + mould 28000/50</t>
        </is>
      </c>
    </row>
    <row r="43">
      <c r="A43" t="inlineStr">
        <is>
          <t>AT-B1-4</t>
        </is>
      </c>
      <c r="B43" t="inlineStr">
        <is>
          <t>AT-B1-4</t>
        </is>
      </c>
      <c r="C43" t="inlineStr">
        <is>
          <t>Rubber B reinforced shock absorber</t>
        </is>
      </c>
      <c r="D43" t="n">
        <v>1.8</v>
      </c>
      <c r="E43" t="n">
        <v>32</v>
      </c>
      <c r="F43" t="n">
        <v>62.2</v>
      </c>
      <c r="G43" t="n">
        <v>32</v>
      </c>
      <c r="H43" s="3" t="n">
        <v>8</v>
      </c>
      <c r="I43" s="3" t="n">
        <v>0.032</v>
      </c>
      <c r="J43">
        <f>ROUND(I43*Policy!$B$16,0)</f>
        <v/>
      </c>
      <c r="K43">
        <f>ROUND(Policy!$B$18+I43*Policy!$B$19,0)</f>
        <v/>
      </c>
      <c r="L43" s="3" t="n">
        <v>0.048</v>
      </c>
      <c r="M43">
        <f>ROUND(MAX(Policy!$B$22,L43*(Policy!$B$20+Policy!$B$21)),0)</f>
        <v/>
      </c>
      <c r="N43">
        <f>IF(E43&lt;=80,Policy!$B$23,IF(E43&lt;=160,Policy!$B$24,Policy!$B$25))</f>
        <v/>
      </c>
      <c r="O43">
        <f>ROUND(N43/(Policy!$B$27*MAX(1,H43)),0)</f>
        <v/>
      </c>
      <c r="P43">
        <f>J43+K43+M43+O43</f>
        <v/>
      </c>
      <c r="Q43">
        <f>Policy!$B$28</f>
        <v/>
      </c>
      <c r="R43">
        <f>CEILING(P43*(1+Q43/100),IF(P43*(1+Q43/100)&lt;10000,50,100))</f>
        <v/>
      </c>
      <c r="S43">
        <f>IF(R43&gt;0,CEILING(R43*(1-Policy!$B$13/100),IF(R43&lt;10000,50,100)),"")</f>
        <v/>
      </c>
      <c r="T43">
        <f>IF(R43&gt;0,ROUNDUP(R43/Policy!$B$14*(1+Policy!$B$15/100),0),"")</f>
        <v/>
      </c>
      <c r="U43" t="inlineStr">
        <is>
          <t>cost</t>
        </is>
      </c>
      <c r="V43" t="inlineStr">
        <is>
          <t>rubber 0.032 kg + moulding + hardware 0.048 kg + mould 28000/50</t>
        </is>
      </c>
    </row>
    <row r="44">
      <c r="A44" t="inlineStr">
        <is>
          <t>AT-B1-5</t>
        </is>
      </c>
      <c r="B44" t="inlineStr">
        <is>
          <t>AT-B1-5</t>
        </is>
      </c>
      <c r="C44" t="inlineStr">
        <is>
          <t>Rubber B reinforced shock absorber</t>
        </is>
      </c>
      <c r="D44" t="n">
        <v>2.3</v>
      </c>
      <c r="E44" t="n">
        <v>32</v>
      </c>
      <c r="F44" t="n">
        <v>62.2</v>
      </c>
      <c r="G44" t="n">
        <v>32</v>
      </c>
      <c r="H44" s="3" t="n">
        <v>8</v>
      </c>
      <c r="I44" s="3" t="n">
        <v>0.032</v>
      </c>
      <c r="J44">
        <f>ROUND(I44*Policy!$B$16,0)</f>
        <v/>
      </c>
      <c r="K44">
        <f>ROUND(Policy!$B$18+I44*Policy!$B$19,0)</f>
        <v/>
      </c>
      <c r="L44" s="3" t="n">
        <v>0.048</v>
      </c>
      <c r="M44">
        <f>ROUND(MAX(Policy!$B$22,L44*(Policy!$B$20+Policy!$B$21)),0)</f>
        <v/>
      </c>
      <c r="N44">
        <f>IF(E44&lt;=80,Policy!$B$23,IF(E44&lt;=160,Policy!$B$24,Policy!$B$25))</f>
        <v/>
      </c>
      <c r="O44">
        <f>ROUND(N44/(Policy!$B$27*MAX(1,H44)),0)</f>
        <v/>
      </c>
      <c r="P44">
        <f>J44+K44+M44+O44</f>
        <v/>
      </c>
      <c r="Q44">
        <f>Policy!$B$28</f>
        <v/>
      </c>
      <c r="R44">
        <f>CEILING(P44*(1+Q44/100),IF(P44*(1+Q44/100)&lt;10000,50,100))</f>
        <v/>
      </c>
      <c r="S44">
        <f>IF(R44&gt;0,CEILING(R44*(1-Policy!$B$13/100),IF(R44&lt;10000,50,100)),"")</f>
        <v/>
      </c>
      <c r="T44">
        <f>IF(R44&gt;0,ROUNDUP(R44/Policy!$B$14*(1+Policy!$B$15/100),0),"")</f>
        <v/>
      </c>
      <c r="U44" t="inlineStr">
        <is>
          <t>cost</t>
        </is>
      </c>
      <c r="V44" t="inlineStr">
        <is>
          <t>rubber 0.032 kg + moulding + hardware 0.048 kg + mould 28000/50</t>
        </is>
      </c>
    </row>
    <row r="45">
      <c r="A45" t="inlineStr">
        <is>
          <t>AT-B2-4</t>
        </is>
      </c>
      <c r="B45" t="inlineStr">
        <is>
          <t>AT-B2-4</t>
        </is>
      </c>
      <c r="C45" t="inlineStr">
        <is>
          <t>Rubber B reinforced shock absorber</t>
        </is>
      </c>
      <c r="D45" t="n">
        <v>1.8</v>
      </c>
      <c r="E45" t="n">
        <v>45</v>
      </c>
      <c r="F45" t="n">
        <v>89.5</v>
      </c>
      <c r="G45" t="n">
        <v>45</v>
      </c>
      <c r="H45" s="3" t="n">
        <v>8</v>
      </c>
      <c r="I45" s="3" t="n">
        <v>0.09</v>
      </c>
      <c r="J45">
        <f>ROUND(I45*Policy!$B$16,0)</f>
        <v/>
      </c>
      <c r="K45">
        <f>ROUND(Policy!$B$18+I45*Policy!$B$19,0)</f>
        <v/>
      </c>
      <c r="L45" s="3" t="n">
        <v>0.095</v>
      </c>
      <c r="M45">
        <f>ROUND(MAX(Policy!$B$22,L45*(Policy!$B$20+Policy!$B$21)),0)</f>
        <v/>
      </c>
      <c r="N45">
        <f>IF(E45&lt;=80,Policy!$B$23,IF(E45&lt;=160,Policy!$B$24,Policy!$B$25))</f>
        <v/>
      </c>
      <c r="O45">
        <f>ROUND(N45/(Policy!$B$27*MAX(1,H45)),0)</f>
        <v/>
      </c>
      <c r="P45">
        <f>J45+K45+M45+O45</f>
        <v/>
      </c>
      <c r="Q45">
        <f>Policy!$B$28</f>
        <v/>
      </c>
      <c r="R45">
        <f>CEILING(P45*(1+Q45/100),IF(P45*(1+Q45/100)&lt;10000,50,100))</f>
        <v/>
      </c>
      <c r="S45">
        <f>IF(R45&gt;0,CEILING(R45*(1-Policy!$B$13/100),IF(R45&lt;10000,50,100)),"")</f>
        <v/>
      </c>
      <c r="T45">
        <f>IF(R45&gt;0,ROUNDUP(R45/Policy!$B$14*(1+Policy!$B$15/100),0),"")</f>
        <v/>
      </c>
      <c r="U45" t="inlineStr">
        <is>
          <t>cost</t>
        </is>
      </c>
      <c r="V45" t="inlineStr">
        <is>
          <t>rubber 0.09 kg + moulding + hardware 0.095 kg + mould 28000/50</t>
        </is>
      </c>
    </row>
    <row r="46">
      <c r="A46" t="inlineStr">
        <is>
          <t>AT-B2-5</t>
        </is>
      </c>
      <c r="B46" t="inlineStr">
        <is>
          <t>AT-B2-5</t>
        </is>
      </c>
      <c r="C46" t="inlineStr">
        <is>
          <t>Rubber B reinforced shock absorber</t>
        </is>
      </c>
      <c r="D46" t="n">
        <v>2.8</v>
      </c>
      <c r="E46" t="n">
        <v>45</v>
      </c>
      <c r="F46" t="n">
        <v>89.5</v>
      </c>
      <c r="G46" t="n">
        <v>45</v>
      </c>
      <c r="H46" s="3" t="n">
        <v>8</v>
      </c>
      <c r="I46" s="3" t="n">
        <v>0.09</v>
      </c>
      <c r="J46">
        <f>ROUND(I46*Policy!$B$16,0)</f>
        <v/>
      </c>
      <c r="K46">
        <f>ROUND(Policy!$B$18+I46*Policy!$B$19,0)</f>
        <v/>
      </c>
      <c r="L46" s="3" t="n">
        <v>0.095</v>
      </c>
      <c r="M46">
        <f>ROUND(MAX(Policy!$B$22,L46*(Policy!$B$20+Policy!$B$21)),0)</f>
        <v/>
      </c>
      <c r="N46">
        <f>IF(E46&lt;=80,Policy!$B$23,IF(E46&lt;=160,Policy!$B$24,Policy!$B$25))</f>
        <v/>
      </c>
      <c r="O46">
        <f>ROUND(N46/(Policy!$B$27*MAX(1,H46)),0)</f>
        <v/>
      </c>
      <c r="P46">
        <f>J46+K46+M46+O46</f>
        <v/>
      </c>
      <c r="Q46">
        <f>Policy!$B$28</f>
        <v/>
      </c>
      <c r="R46">
        <f>CEILING(P46*(1+Q46/100),IF(P46*(1+Q46/100)&lt;10000,50,100))</f>
        <v/>
      </c>
      <c r="S46">
        <f>IF(R46&gt;0,CEILING(R46*(1-Policy!$B$13/100),IF(R46&lt;10000,50,100)),"")</f>
        <v/>
      </c>
      <c r="T46">
        <f>IF(R46&gt;0,ROUNDUP(R46/Policy!$B$14*(1+Policy!$B$15/100),0),"")</f>
        <v/>
      </c>
      <c r="U46" t="inlineStr">
        <is>
          <t>cost</t>
        </is>
      </c>
      <c r="V46" t="inlineStr">
        <is>
          <t>rubber 0.09 kg + moulding + hardware 0.095 kg + mould 28000/50</t>
        </is>
      </c>
    </row>
    <row r="47">
      <c r="A47" t="inlineStr">
        <is>
          <t>AT-B2-6</t>
        </is>
      </c>
      <c r="B47" t="inlineStr">
        <is>
          <t>AT-B2-6</t>
        </is>
      </c>
      <c r="C47" t="inlineStr">
        <is>
          <t>Rubber B reinforced shock absorber</t>
        </is>
      </c>
      <c r="D47" t="n">
        <v>3.7</v>
      </c>
      <c r="E47" t="n">
        <v>45</v>
      </c>
      <c r="F47" t="n">
        <v>89.5</v>
      </c>
      <c r="G47" t="n">
        <v>45</v>
      </c>
      <c r="H47" s="3" t="n">
        <v>8</v>
      </c>
      <c r="I47" s="3" t="n">
        <v>0.09</v>
      </c>
      <c r="J47">
        <f>ROUND(I47*Policy!$B$16,0)</f>
        <v/>
      </c>
      <c r="K47">
        <f>ROUND(Policy!$B$18+I47*Policy!$B$19,0)</f>
        <v/>
      </c>
      <c r="L47" s="3" t="n">
        <v>0.095</v>
      </c>
      <c r="M47">
        <f>ROUND(MAX(Policy!$B$22,L47*(Policy!$B$20+Policy!$B$21)),0)</f>
        <v/>
      </c>
      <c r="N47">
        <f>IF(E47&lt;=80,Policy!$B$23,IF(E47&lt;=160,Policy!$B$24,Policy!$B$25))</f>
        <v/>
      </c>
      <c r="O47">
        <f>ROUND(N47/(Policy!$B$27*MAX(1,H47)),0)</f>
        <v/>
      </c>
      <c r="P47">
        <f>J47+K47+M47+O47</f>
        <v/>
      </c>
      <c r="Q47">
        <f>Policy!$B$28</f>
        <v/>
      </c>
      <c r="R47">
        <f>CEILING(P47*(1+Q47/100),IF(P47*(1+Q47/100)&lt;10000,50,100))</f>
        <v/>
      </c>
      <c r="S47">
        <f>IF(R47&gt;0,CEILING(R47*(1-Policy!$B$13/100),IF(R47&lt;10000,50,100)),"")</f>
        <v/>
      </c>
      <c r="T47">
        <f>IF(R47&gt;0,ROUNDUP(R47/Policy!$B$14*(1+Policy!$B$15/100),0),"")</f>
        <v/>
      </c>
      <c r="U47" t="inlineStr">
        <is>
          <t>cost</t>
        </is>
      </c>
      <c r="V47" t="inlineStr">
        <is>
          <t>rubber 0.09 kg + moulding + hardware 0.095 kg + mould 28000/50</t>
        </is>
      </c>
    </row>
    <row r="48">
      <c r="A48" t="inlineStr">
        <is>
          <t>AT-B2-10</t>
        </is>
      </c>
      <c r="B48" t="inlineStr">
        <is>
          <t>AT-B2-10</t>
        </is>
      </c>
      <c r="C48" t="inlineStr">
        <is>
          <t>Rubber B reinforced shock absorber</t>
        </is>
      </c>
      <c r="D48" t="n">
        <v>4.6</v>
      </c>
      <c r="E48" t="n">
        <v>45</v>
      </c>
      <c r="F48" t="n">
        <v>89.5</v>
      </c>
      <c r="G48" t="n">
        <v>45</v>
      </c>
      <c r="H48" s="3" t="n">
        <v>8</v>
      </c>
      <c r="I48" s="3" t="n">
        <v>0.09</v>
      </c>
      <c r="J48">
        <f>ROUND(I48*Policy!$B$16,0)</f>
        <v/>
      </c>
      <c r="K48">
        <f>ROUND(Policy!$B$18+I48*Policy!$B$19,0)</f>
        <v/>
      </c>
      <c r="L48" s="3" t="n">
        <v>0.095</v>
      </c>
      <c r="M48">
        <f>ROUND(MAX(Policy!$B$22,L48*(Policy!$B$20+Policy!$B$21)),0)</f>
        <v/>
      </c>
      <c r="N48">
        <f>IF(E48&lt;=80,Policy!$B$23,IF(E48&lt;=160,Policy!$B$24,Policy!$B$25))</f>
        <v/>
      </c>
      <c r="O48">
        <f>ROUND(N48/(Policy!$B$27*MAX(1,H48)),0)</f>
        <v/>
      </c>
      <c r="P48">
        <f>J48+K48+M48+O48</f>
        <v/>
      </c>
      <c r="Q48">
        <f>Policy!$B$28</f>
        <v/>
      </c>
      <c r="R48">
        <f>CEILING(P48*(1+Q48/100),IF(P48*(1+Q48/100)&lt;10000,50,100))</f>
        <v/>
      </c>
      <c r="S48">
        <f>IF(R48&gt;0,CEILING(R48*(1-Policy!$B$13/100),IF(R48&lt;10000,50,100)),"")</f>
        <v/>
      </c>
      <c r="T48">
        <f>IF(R48&gt;0,ROUNDUP(R48/Policy!$B$14*(1+Policy!$B$15/100),0),"")</f>
        <v/>
      </c>
      <c r="U48" t="inlineStr">
        <is>
          <t>cost</t>
        </is>
      </c>
      <c r="V48" t="inlineStr">
        <is>
          <t>rubber 0.09 kg + moulding + hardware 0.095 kg + mould 28000/50</t>
        </is>
      </c>
    </row>
    <row r="49">
      <c r="A49" t="inlineStr">
        <is>
          <t>AT-B2-12</t>
        </is>
      </c>
      <c r="B49" t="inlineStr">
        <is>
          <t>AT-B2-12</t>
        </is>
      </c>
      <c r="C49" t="inlineStr">
        <is>
          <t>Rubber B reinforced shock absorber</t>
        </is>
      </c>
      <c r="D49" t="n">
        <v>5.5</v>
      </c>
      <c r="E49" t="n">
        <v>45</v>
      </c>
      <c r="F49" t="n">
        <v>89.5</v>
      </c>
      <c r="G49" t="n">
        <v>45</v>
      </c>
      <c r="H49" s="3" t="n">
        <v>8</v>
      </c>
      <c r="I49" s="3" t="n">
        <v>0.09</v>
      </c>
      <c r="J49">
        <f>ROUND(I49*Policy!$B$16,0)</f>
        <v/>
      </c>
      <c r="K49">
        <f>ROUND(Policy!$B$18+I49*Policy!$B$19,0)</f>
        <v/>
      </c>
      <c r="L49" s="3" t="n">
        <v>0.095</v>
      </c>
      <c r="M49">
        <f>ROUND(MAX(Policy!$B$22,L49*(Policy!$B$20+Policy!$B$21)),0)</f>
        <v/>
      </c>
      <c r="N49">
        <f>IF(E49&lt;=80,Policy!$B$23,IF(E49&lt;=160,Policy!$B$24,Policy!$B$25))</f>
        <v/>
      </c>
      <c r="O49">
        <f>ROUND(N49/(Policy!$B$27*MAX(1,H49)),0)</f>
        <v/>
      </c>
      <c r="P49">
        <f>J49+K49+M49+O49</f>
        <v/>
      </c>
      <c r="Q49">
        <f>Policy!$B$28</f>
        <v/>
      </c>
      <c r="R49">
        <f>CEILING(P49*(1+Q49/100),IF(P49*(1+Q49/100)&lt;10000,50,100))</f>
        <v/>
      </c>
      <c r="S49">
        <f>IF(R49&gt;0,CEILING(R49*(1-Policy!$B$13/100),IF(R49&lt;10000,50,100)),"")</f>
        <v/>
      </c>
      <c r="T49">
        <f>IF(R49&gt;0,ROUNDUP(R49/Policy!$B$14*(1+Policy!$B$15/100),0),"")</f>
        <v/>
      </c>
      <c r="U49" t="inlineStr">
        <is>
          <t>cost</t>
        </is>
      </c>
      <c r="V49" t="inlineStr">
        <is>
          <t>rubber 0.09 kg + moulding + hardware 0.095 kg + mould 28000/50</t>
        </is>
      </c>
    </row>
    <row r="50">
      <c r="A50" t="inlineStr">
        <is>
          <t>AT-B3-15</t>
        </is>
      </c>
      <c r="B50" t="inlineStr">
        <is>
          <t>AT-B3-15</t>
        </is>
      </c>
      <c r="C50" t="inlineStr">
        <is>
          <t>Rubber B reinforced shock absorber</t>
        </is>
      </c>
      <c r="D50" t="n">
        <v>6.9</v>
      </c>
      <c r="E50" t="n">
        <v>57</v>
      </c>
      <c r="F50" t="n">
        <v>121</v>
      </c>
      <c r="G50" t="n">
        <v>57</v>
      </c>
      <c r="H50" s="3" t="n">
        <v>8</v>
      </c>
      <c r="I50" s="3" t="n">
        <v>0.195</v>
      </c>
      <c r="J50">
        <f>ROUND(I50*Policy!$B$16,0)</f>
        <v/>
      </c>
      <c r="K50">
        <f>ROUND(Policy!$B$18+I50*Policy!$B$19,0)</f>
        <v/>
      </c>
      <c r="L50" s="3" t="n">
        <v>0.153</v>
      </c>
      <c r="M50">
        <f>ROUND(MAX(Policy!$B$22,L50*(Policy!$B$20+Policy!$B$21)),0)</f>
        <v/>
      </c>
      <c r="N50">
        <f>IF(E50&lt;=80,Policy!$B$23,IF(E50&lt;=160,Policy!$B$24,Policy!$B$25))</f>
        <v/>
      </c>
      <c r="O50">
        <f>ROUND(N50/(Policy!$B$27*MAX(1,H50)),0)</f>
        <v/>
      </c>
      <c r="P50">
        <f>J50+K50+M50+O50</f>
        <v/>
      </c>
      <c r="Q50">
        <f>Policy!$B$28</f>
        <v/>
      </c>
      <c r="R50">
        <f>CEILING(P50*(1+Q50/100),IF(P50*(1+Q50/100)&lt;10000,50,100))</f>
        <v/>
      </c>
      <c r="S50">
        <f>IF(R50&gt;0,CEILING(R50*(1-Policy!$B$13/100),IF(R50&lt;10000,50,100)),"")</f>
        <v/>
      </c>
      <c r="T50">
        <f>IF(R50&gt;0,ROUNDUP(R50/Policy!$B$14*(1+Policy!$B$15/100),0),"")</f>
        <v/>
      </c>
      <c r="U50" t="inlineStr">
        <is>
          <t>cost</t>
        </is>
      </c>
      <c r="V50" t="inlineStr">
        <is>
          <t>rubber 0.195 kg + moulding + hardware 0.153 kg + mould 28000/50</t>
        </is>
      </c>
    </row>
    <row r="51">
      <c r="A51" t="inlineStr">
        <is>
          <t>AT-B3-20</t>
        </is>
      </c>
      <c r="B51" t="inlineStr">
        <is>
          <t>AT-B3-20</t>
        </is>
      </c>
      <c r="C51" t="inlineStr">
        <is>
          <t>Rubber B reinforced shock absorber</t>
        </is>
      </c>
      <c r="D51" t="n">
        <v>9.199999999999999</v>
      </c>
      <c r="E51" t="n">
        <v>57</v>
      </c>
      <c r="F51" t="n">
        <v>121</v>
      </c>
      <c r="G51" t="n">
        <v>57</v>
      </c>
      <c r="H51" s="3" t="n">
        <v>8</v>
      </c>
      <c r="I51" s="3" t="n">
        <v>0.195</v>
      </c>
      <c r="J51">
        <f>ROUND(I51*Policy!$B$16,0)</f>
        <v/>
      </c>
      <c r="K51">
        <f>ROUND(Policy!$B$18+I51*Policy!$B$19,0)</f>
        <v/>
      </c>
      <c r="L51" s="3" t="n">
        <v>0.153</v>
      </c>
      <c r="M51">
        <f>ROUND(MAX(Policy!$B$22,L51*(Policy!$B$20+Policy!$B$21)),0)</f>
        <v/>
      </c>
      <c r="N51">
        <f>IF(E51&lt;=80,Policy!$B$23,IF(E51&lt;=160,Policy!$B$24,Policy!$B$25))</f>
        <v/>
      </c>
      <c r="O51">
        <f>ROUND(N51/(Policy!$B$27*MAX(1,H51)),0)</f>
        <v/>
      </c>
      <c r="P51">
        <f>J51+K51+M51+O51</f>
        <v/>
      </c>
      <c r="Q51">
        <f>Policy!$B$28</f>
        <v/>
      </c>
      <c r="R51">
        <f>CEILING(P51*(1+Q51/100),IF(P51*(1+Q51/100)&lt;10000,50,100))</f>
        <v/>
      </c>
      <c r="S51">
        <f>IF(R51&gt;0,CEILING(R51*(1-Policy!$B$13/100),IF(R51&lt;10000,50,100)),"")</f>
        <v/>
      </c>
      <c r="T51">
        <f>IF(R51&gt;0,ROUNDUP(R51/Policy!$B$14*(1+Policy!$B$15/100),0),"")</f>
        <v/>
      </c>
      <c r="U51" t="inlineStr">
        <is>
          <t>cost</t>
        </is>
      </c>
      <c r="V51" t="inlineStr">
        <is>
          <t>rubber 0.195 kg + moulding + hardware 0.153 kg + mould 28000/50</t>
        </is>
      </c>
    </row>
    <row r="52">
      <c r="A52" t="inlineStr">
        <is>
          <t>AT-B3-25</t>
        </is>
      </c>
      <c r="B52" t="inlineStr">
        <is>
          <t>AT-B3-25</t>
        </is>
      </c>
      <c r="C52" t="inlineStr">
        <is>
          <t>Rubber B reinforced shock absorber</t>
        </is>
      </c>
      <c r="D52" t="n">
        <v>11.5</v>
      </c>
      <c r="E52" t="n">
        <v>57</v>
      </c>
      <c r="F52" t="n">
        <v>121</v>
      </c>
      <c r="G52" t="n">
        <v>57</v>
      </c>
      <c r="H52" s="3" t="n">
        <v>8</v>
      </c>
      <c r="I52" s="3" t="n">
        <v>0.195</v>
      </c>
      <c r="J52">
        <f>ROUND(I52*Policy!$B$16,0)</f>
        <v/>
      </c>
      <c r="K52">
        <f>ROUND(Policy!$B$18+I52*Policy!$B$19,0)</f>
        <v/>
      </c>
      <c r="L52" s="3" t="n">
        <v>0.153</v>
      </c>
      <c r="M52">
        <f>ROUND(MAX(Policy!$B$22,L52*(Policy!$B$20+Policy!$B$21)),0)</f>
        <v/>
      </c>
      <c r="N52">
        <f>IF(E52&lt;=80,Policy!$B$23,IF(E52&lt;=160,Policy!$B$24,Policy!$B$25))</f>
        <v/>
      </c>
      <c r="O52">
        <f>ROUND(N52/(Policy!$B$27*MAX(1,H52)),0)</f>
        <v/>
      </c>
      <c r="P52">
        <f>J52+K52+M52+O52</f>
        <v/>
      </c>
      <c r="Q52">
        <f>Policy!$B$28</f>
        <v/>
      </c>
      <c r="R52">
        <f>CEILING(P52*(1+Q52/100),IF(P52*(1+Q52/100)&lt;10000,50,100))</f>
        <v/>
      </c>
      <c r="S52">
        <f>IF(R52&gt;0,CEILING(R52*(1-Policy!$B$13/100),IF(R52&lt;10000,50,100)),"")</f>
        <v/>
      </c>
      <c r="T52">
        <f>IF(R52&gt;0,ROUNDUP(R52/Policy!$B$14*(1+Policy!$B$15/100),0),"")</f>
        <v/>
      </c>
      <c r="U52" t="inlineStr">
        <is>
          <t>cost</t>
        </is>
      </c>
      <c r="V52" t="inlineStr">
        <is>
          <t>rubber 0.195 kg + moulding + hardware 0.153 kg + mould 28000/50</t>
        </is>
      </c>
    </row>
    <row r="53">
      <c r="A53" t="inlineStr">
        <is>
          <t>AT-B3-35</t>
        </is>
      </c>
      <c r="B53" t="inlineStr">
        <is>
          <t>AT-B3-35</t>
        </is>
      </c>
      <c r="C53" t="inlineStr">
        <is>
          <t>Rubber B reinforced shock absorber</t>
        </is>
      </c>
      <c r="D53" t="n">
        <v>16.1</v>
      </c>
      <c r="E53" t="n">
        <v>57</v>
      </c>
      <c r="F53" t="n">
        <v>121</v>
      </c>
      <c r="G53" t="n">
        <v>57</v>
      </c>
      <c r="H53" s="3" t="n">
        <v>8</v>
      </c>
      <c r="I53" s="3" t="n">
        <v>0.195</v>
      </c>
      <c r="J53">
        <f>ROUND(I53*Policy!$B$16,0)</f>
        <v/>
      </c>
      <c r="K53">
        <f>ROUND(Policy!$B$18+I53*Policy!$B$19,0)</f>
        <v/>
      </c>
      <c r="L53" s="3" t="n">
        <v>0.153</v>
      </c>
      <c r="M53">
        <f>ROUND(MAX(Policy!$B$22,L53*(Policy!$B$20+Policy!$B$21)),0)</f>
        <v/>
      </c>
      <c r="N53">
        <f>IF(E53&lt;=80,Policy!$B$23,IF(E53&lt;=160,Policy!$B$24,Policy!$B$25))</f>
        <v/>
      </c>
      <c r="O53">
        <f>ROUND(N53/(Policy!$B$27*MAX(1,H53)),0)</f>
        <v/>
      </c>
      <c r="P53">
        <f>J53+K53+M53+O53</f>
        <v/>
      </c>
      <c r="Q53">
        <f>Policy!$B$28</f>
        <v/>
      </c>
      <c r="R53">
        <f>CEILING(P53*(1+Q53/100),IF(P53*(1+Q53/100)&lt;10000,50,100))</f>
        <v/>
      </c>
      <c r="S53">
        <f>IF(R53&gt;0,CEILING(R53*(1-Policy!$B$13/100),IF(R53&lt;10000,50,100)),"")</f>
        <v/>
      </c>
      <c r="T53">
        <f>IF(R53&gt;0,ROUNDUP(R53/Policy!$B$14*(1+Policy!$B$15/100),0),"")</f>
        <v/>
      </c>
      <c r="U53" t="inlineStr">
        <is>
          <t>cost</t>
        </is>
      </c>
      <c r="V53" t="inlineStr">
        <is>
          <t>rubber 0.195 kg + moulding + hardware 0.153 kg + mould 28000/50</t>
        </is>
      </c>
    </row>
    <row r="54">
      <c r="A54" t="inlineStr">
        <is>
          <t>AT-E10</t>
        </is>
      </c>
      <c r="B54" t="inlineStr">
        <is>
          <t>AT-E10</t>
        </is>
      </c>
      <c r="C54" t="inlineStr">
        <is>
          <t>Rubber E/EA shock absorber</t>
        </is>
      </c>
      <c r="D54" t="n">
        <v>10.2</v>
      </c>
      <c r="E54" t="n">
        <v>35</v>
      </c>
      <c r="F54" t="n">
        <v>40</v>
      </c>
      <c r="G54" t="n">
        <v>70</v>
      </c>
      <c r="H54" s="3" t="n">
        <v>8</v>
      </c>
      <c r="I54" s="3" t="n">
        <v>0.024</v>
      </c>
      <c r="J54">
        <f>ROUND(I54*Policy!$B$16,0)</f>
        <v/>
      </c>
      <c r="K54">
        <f>ROUND(Policy!$B$18+I54*Policy!$B$19,0)</f>
        <v/>
      </c>
      <c r="L54" s="3" t="n">
        <v>0.115</v>
      </c>
      <c r="M54">
        <f>ROUND(MAX(Policy!$B$22,L54*(Policy!$B$20+Policy!$B$21)),0)</f>
        <v/>
      </c>
      <c r="N54">
        <f>IF(E54&lt;=80,Policy!$B$23,IF(E54&lt;=160,Policy!$B$24,Policy!$B$25))</f>
        <v/>
      </c>
      <c r="O54">
        <f>ROUND(N54/(Policy!$B$27*MAX(1,H54)),0)</f>
        <v/>
      </c>
      <c r="P54">
        <f>J54+K54+M54+O54</f>
        <v/>
      </c>
      <c r="Q54">
        <f>Policy!$B$28</f>
        <v/>
      </c>
      <c r="R54">
        <f>CEILING(P54*(1+Q54/100),IF(P54*(1+Q54/100)&lt;10000,50,100))</f>
        <v/>
      </c>
      <c r="S54">
        <f>IF(R54&gt;0,CEILING(R54*(1-Policy!$B$13/100),IF(R54&lt;10000,50,100)),"")</f>
        <v/>
      </c>
      <c r="T54">
        <f>IF(R54&gt;0,ROUNDUP(R54/Policy!$B$14*(1+Policy!$B$15/100),0),"")</f>
        <v/>
      </c>
      <c r="U54" t="inlineStr">
        <is>
          <t>cost</t>
        </is>
      </c>
      <c r="V54" t="inlineStr">
        <is>
          <t>rubber 0.024 kg + moulding + hardware 0.115 kg + mould 28000/50</t>
        </is>
      </c>
    </row>
    <row r="55">
      <c r="A55" t="inlineStr">
        <is>
          <t>AT-E15</t>
        </is>
      </c>
      <c r="B55" t="inlineStr">
        <is>
          <t>AT-E15</t>
        </is>
      </c>
      <c r="C55" t="inlineStr">
        <is>
          <t>Rubber E/EA shock absorber</t>
        </is>
      </c>
      <c r="D55" t="n">
        <v>15.3</v>
      </c>
      <c r="E55" t="n">
        <v>40</v>
      </c>
      <c r="F55" t="n">
        <v>40</v>
      </c>
      <c r="G55" t="n">
        <v>70</v>
      </c>
      <c r="H55" s="3" t="n">
        <v>8</v>
      </c>
      <c r="I55" s="3" t="n">
        <v>0.032</v>
      </c>
      <c r="J55">
        <f>ROUND(I55*Policy!$B$16,0)</f>
        <v/>
      </c>
      <c r="K55">
        <f>ROUND(Policy!$B$18+I55*Policy!$B$19,0)</f>
        <v/>
      </c>
      <c r="L55" s="3" t="n">
        <v>0.132</v>
      </c>
      <c r="M55">
        <f>ROUND(MAX(Policy!$B$22,L55*(Policy!$B$20+Policy!$B$21)),0)</f>
        <v/>
      </c>
      <c r="N55">
        <f>IF(E55&lt;=80,Policy!$B$23,IF(E55&lt;=160,Policy!$B$24,Policy!$B$25))</f>
        <v/>
      </c>
      <c r="O55">
        <f>ROUND(N55/(Policy!$B$27*MAX(1,H55)),0)</f>
        <v/>
      </c>
      <c r="P55">
        <f>J55+K55+M55+O55</f>
        <v/>
      </c>
      <c r="Q55">
        <f>Policy!$B$28</f>
        <v/>
      </c>
      <c r="R55">
        <f>CEILING(P55*(1+Q55/100),IF(P55*(1+Q55/100)&lt;10000,50,100))</f>
        <v/>
      </c>
      <c r="S55">
        <f>IF(R55&gt;0,CEILING(R55*(1-Policy!$B$13/100),IF(R55&lt;10000,50,100)),"")</f>
        <v/>
      </c>
      <c r="T55">
        <f>IF(R55&gt;0,ROUNDUP(R55/Policy!$B$14*(1+Policy!$B$15/100),0),"")</f>
        <v/>
      </c>
      <c r="U55" t="inlineStr">
        <is>
          <t>cost</t>
        </is>
      </c>
      <c r="V55" t="inlineStr">
        <is>
          <t>rubber 0.032 kg + moulding + hardware 0.132 kg + mould 28000/50</t>
        </is>
      </c>
    </row>
    <row r="56">
      <c r="A56" t="inlineStr">
        <is>
          <t>AT-E25</t>
        </is>
      </c>
      <c r="B56" t="inlineStr">
        <is>
          <t>AT-E25</t>
        </is>
      </c>
      <c r="C56" t="inlineStr">
        <is>
          <t>Rubber E/EA shock absorber</t>
        </is>
      </c>
      <c r="D56" t="n">
        <v>25.5</v>
      </c>
      <c r="E56" t="n">
        <v>40</v>
      </c>
      <c r="F56" t="n">
        <v>40</v>
      </c>
      <c r="G56" t="n">
        <v>70</v>
      </c>
      <c r="H56" s="3" t="n">
        <v>8</v>
      </c>
      <c r="I56" s="3" t="n">
        <v>0.032</v>
      </c>
      <c r="J56">
        <f>ROUND(I56*Policy!$B$16,0)</f>
        <v/>
      </c>
      <c r="K56">
        <f>ROUND(Policy!$B$18+I56*Policy!$B$19,0)</f>
        <v/>
      </c>
      <c r="L56" s="3" t="n">
        <v>0.132</v>
      </c>
      <c r="M56">
        <f>ROUND(MAX(Policy!$B$22,L56*(Policy!$B$20+Policy!$B$21)),0)</f>
        <v/>
      </c>
      <c r="N56">
        <f>IF(E56&lt;=80,Policy!$B$23,IF(E56&lt;=160,Policy!$B$24,Policy!$B$25))</f>
        <v/>
      </c>
      <c r="O56">
        <f>ROUND(N56/(Policy!$B$27*MAX(1,H56)),0)</f>
        <v/>
      </c>
      <c r="P56">
        <f>J56+K56+M56+O56</f>
        <v/>
      </c>
      <c r="Q56">
        <f>Policy!$B$28</f>
        <v/>
      </c>
      <c r="R56">
        <f>CEILING(P56*(1+Q56/100),IF(P56*(1+Q56/100)&lt;10000,50,100))</f>
        <v/>
      </c>
      <c r="S56">
        <f>IF(R56&gt;0,CEILING(R56*(1-Policy!$B$13/100),IF(R56&lt;10000,50,100)),"")</f>
        <v/>
      </c>
      <c r="T56">
        <f>IF(R56&gt;0,ROUNDUP(R56/Policy!$B$14*(1+Policy!$B$15/100),0),"")</f>
        <v/>
      </c>
      <c r="U56" t="inlineStr">
        <is>
          <t>cost</t>
        </is>
      </c>
      <c r="V56" t="inlineStr">
        <is>
          <t>rubber 0.032 kg + moulding + hardware 0.132 kg + mould 28000/50</t>
        </is>
      </c>
    </row>
    <row r="57">
      <c r="A57" t="inlineStr">
        <is>
          <t>AT-EA25</t>
        </is>
      </c>
      <c r="B57" t="inlineStr">
        <is>
          <t>AT-EA25</t>
        </is>
      </c>
      <c r="C57" t="inlineStr">
        <is>
          <t>Rubber E/EA shock absorber</t>
        </is>
      </c>
      <c r="D57" t="n">
        <v>25.5</v>
      </c>
      <c r="E57" t="n">
        <v>48</v>
      </c>
      <c r="F57" t="n">
        <v>40</v>
      </c>
      <c r="G57" t="n">
        <v>70</v>
      </c>
      <c r="H57" s="3" t="n">
        <v>8</v>
      </c>
      <c r="I57" s="3" t="n">
        <v>0.046</v>
      </c>
      <c r="J57">
        <f>ROUND(I57*Policy!$B$16,0)</f>
        <v/>
      </c>
      <c r="K57">
        <f>ROUND(Policy!$B$18+I57*Policy!$B$19,0)</f>
        <v/>
      </c>
      <c r="L57" s="3" t="n">
        <v>0.158</v>
      </c>
      <c r="M57">
        <f>ROUND(MAX(Policy!$B$22,L57*(Policy!$B$20+Policy!$B$21)),0)</f>
        <v/>
      </c>
      <c r="N57">
        <f>IF(E57&lt;=80,Policy!$B$23,IF(E57&lt;=160,Policy!$B$24,Policy!$B$25))</f>
        <v/>
      </c>
      <c r="O57">
        <f>ROUND(N57/(Policy!$B$27*MAX(1,H57)),0)</f>
        <v/>
      </c>
      <c r="P57">
        <f>J57+K57+M57+O57</f>
        <v/>
      </c>
      <c r="Q57">
        <f>Policy!$B$28</f>
        <v/>
      </c>
      <c r="R57">
        <f>CEILING(P57*(1+Q57/100),IF(P57*(1+Q57/100)&lt;10000,50,100))</f>
        <v/>
      </c>
      <c r="S57">
        <f>IF(R57&gt;0,CEILING(R57*(1-Policy!$B$13/100),IF(R57&lt;10000,50,100)),"")</f>
        <v/>
      </c>
      <c r="T57">
        <f>IF(R57&gt;0,ROUNDUP(R57/Policy!$B$14*(1+Policy!$B$15/100),0),"")</f>
        <v/>
      </c>
      <c r="U57" t="inlineStr">
        <is>
          <t>cost</t>
        </is>
      </c>
      <c r="V57" t="inlineStr">
        <is>
          <t>rubber 0.046 kg + moulding + hardware 0.158 kg + mould 28000/50</t>
        </is>
      </c>
    </row>
    <row r="58">
      <c r="A58" t="inlineStr">
        <is>
          <t>AT-E40</t>
        </is>
      </c>
      <c r="B58" t="inlineStr">
        <is>
          <t>AT-E40</t>
        </is>
      </c>
      <c r="C58" t="inlineStr">
        <is>
          <t>Rubber E/EA shock absorber</t>
        </is>
      </c>
      <c r="D58" t="n">
        <v>40.8</v>
      </c>
      <c r="E58" t="n">
        <v>55</v>
      </c>
      <c r="F58" t="n">
        <v>46</v>
      </c>
      <c r="G58" t="n">
        <v>85</v>
      </c>
      <c r="H58" s="3" t="n">
        <v>8</v>
      </c>
      <c r="I58" s="3" t="n">
        <v>0.06900000000000001</v>
      </c>
      <c r="J58">
        <f>ROUND(I58*Policy!$B$16,0)</f>
        <v/>
      </c>
      <c r="K58">
        <f>ROUND(Policy!$B$18+I58*Policy!$B$19,0)</f>
        <v/>
      </c>
      <c r="L58" s="3" t="n">
        <v>0.22</v>
      </c>
      <c r="M58">
        <f>ROUND(MAX(Policy!$B$22,L58*(Policy!$B$20+Policy!$B$21)),0)</f>
        <v/>
      </c>
      <c r="N58">
        <f>IF(E58&lt;=80,Policy!$B$23,IF(E58&lt;=160,Policy!$B$24,Policy!$B$25))</f>
        <v/>
      </c>
      <c r="O58">
        <f>ROUND(N58/(Policy!$B$27*MAX(1,H58)),0)</f>
        <v/>
      </c>
      <c r="P58">
        <f>J58+K58+M58+O58</f>
        <v/>
      </c>
      <c r="Q58">
        <f>Policy!$B$28</f>
        <v/>
      </c>
      <c r="R58">
        <f>CEILING(P58*(1+Q58/100),IF(P58*(1+Q58/100)&lt;10000,50,100))</f>
        <v/>
      </c>
      <c r="S58">
        <f>IF(R58&gt;0,CEILING(R58*(1-Policy!$B$13/100),IF(R58&lt;10000,50,100)),"")</f>
        <v/>
      </c>
      <c r="T58">
        <f>IF(R58&gt;0,ROUNDUP(R58/Policy!$B$14*(1+Policy!$B$15/100),0),"")</f>
        <v/>
      </c>
      <c r="U58" t="inlineStr">
        <is>
          <t>cost</t>
        </is>
      </c>
      <c r="V58" t="inlineStr">
        <is>
          <t>rubber 0.069 kg + moulding + hardware 0.22 kg + mould 28000/50</t>
        </is>
      </c>
    </row>
    <row r="59">
      <c r="A59" t="inlineStr">
        <is>
          <t>AT-EA40</t>
        </is>
      </c>
      <c r="B59" t="inlineStr">
        <is>
          <t>AT-EA40</t>
        </is>
      </c>
      <c r="C59" t="inlineStr">
        <is>
          <t>Rubber E/EA shock absorber</t>
        </is>
      </c>
      <c r="D59" t="n">
        <v>40.8</v>
      </c>
      <c r="E59" t="n">
        <v>63</v>
      </c>
      <c r="F59" t="n">
        <v>46</v>
      </c>
      <c r="G59" t="n">
        <v>85</v>
      </c>
      <c r="H59" s="3" t="n">
        <v>8</v>
      </c>
      <c r="I59" s="3" t="n">
        <v>0.091</v>
      </c>
      <c r="J59">
        <f>ROUND(I59*Policy!$B$16,0)</f>
        <v/>
      </c>
      <c r="K59">
        <f>ROUND(Policy!$B$18+I59*Policy!$B$19,0)</f>
        <v/>
      </c>
      <c r="L59" s="3" t="n">
        <v>0.252</v>
      </c>
      <c r="M59">
        <f>ROUND(MAX(Policy!$B$22,L59*(Policy!$B$20+Policy!$B$21)),0)</f>
        <v/>
      </c>
      <c r="N59">
        <f>IF(E59&lt;=80,Policy!$B$23,IF(E59&lt;=160,Policy!$B$24,Policy!$B$25))</f>
        <v/>
      </c>
      <c r="O59">
        <f>ROUND(N59/(Policy!$B$27*MAX(1,H59)),0)</f>
        <v/>
      </c>
      <c r="P59">
        <f>J59+K59+M59+O59</f>
        <v/>
      </c>
      <c r="Q59">
        <f>Policy!$B$28</f>
        <v/>
      </c>
      <c r="R59">
        <f>CEILING(P59*(1+Q59/100),IF(P59*(1+Q59/100)&lt;10000,50,100))</f>
        <v/>
      </c>
      <c r="S59">
        <f>IF(R59&gt;0,CEILING(R59*(1-Policy!$B$13/100),IF(R59&lt;10000,50,100)),"")</f>
        <v/>
      </c>
      <c r="T59">
        <f>IF(R59&gt;0,ROUNDUP(R59/Policy!$B$14*(1+Policy!$B$15/100),0),"")</f>
        <v/>
      </c>
      <c r="U59" t="inlineStr">
        <is>
          <t>cost</t>
        </is>
      </c>
      <c r="V59" t="inlineStr">
        <is>
          <t>rubber 0.091 kg + moulding + hardware 0.252 kg + mould 28000/50</t>
        </is>
      </c>
    </row>
    <row r="60">
      <c r="A60" t="inlineStr">
        <is>
          <t>AT-E60</t>
        </is>
      </c>
      <c r="B60" t="inlineStr">
        <is>
          <t>AT-E60</t>
        </is>
      </c>
      <c r="C60" t="inlineStr">
        <is>
          <t>Rubber E/EA shock absorber</t>
        </is>
      </c>
      <c r="D60" t="n">
        <v>61.2</v>
      </c>
      <c r="E60" t="n">
        <v>65</v>
      </c>
      <c r="F60" t="n">
        <v>50</v>
      </c>
      <c r="G60" t="n">
        <v>100</v>
      </c>
      <c r="H60" s="3" t="n">
        <v>8</v>
      </c>
      <c r="I60" s="3" t="n">
        <v>0.105</v>
      </c>
      <c r="J60">
        <f>ROUND(I60*Policy!$B$16,0)</f>
        <v/>
      </c>
      <c r="K60">
        <f>ROUND(Policy!$B$18+I60*Policy!$B$19,0)</f>
        <v/>
      </c>
      <c r="L60" s="3" t="n">
        <v>0.306</v>
      </c>
      <c r="M60">
        <f>ROUND(MAX(Policy!$B$22,L60*(Policy!$B$20+Policy!$B$21)),0)</f>
        <v/>
      </c>
      <c r="N60">
        <f>IF(E60&lt;=80,Policy!$B$23,IF(E60&lt;=160,Policy!$B$24,Policy!$B$25))</f>
        <v/>
      </c>
      <c r="O60">
        <f>ROUND(N60/(Policy!$B$27*MAX(1,H60)),0)</f>
        <v/>
      </c>
      <c r="P60">
        <f>J60+K60+M60+O60</f>
        <v/>
      </c>
      <c r="Q60">
        <f>Policy!$B$28</f>
        <v/>
      </c>
      <c r="R60">
        <f>CEILING(P60*(1+Q60/100),IF(P60*(1+Q60/100)&lt;10000,50,100))</f>
        <v/>
      </c>
      <c r="S60">
        <f>IF(R60&gt;0,CEILING(R60*(1-Policy!$B$13/100),IF(R60&lt;10000,50,100)),"")</f>
        <v/>
      </c>
      <c r="T60">
        <f>IF(R60&gt;0,ROUNDUP(R60/Policy!$B$14*(1+Policy!$B$15/100),0),"")</f>
        <v/>
      </c>
      <c r="U60" t="inlineStr">
        <is>
          <t>cost</t>
        </is>
      </c>
      <c r="V60" t="inlineStr">
        <is>
          <t>rubber 0.105 kg + moulding + hardware 0.306 kg + mould 28000/50</t>
        </is>
      </c>
    </row>
    <row r="61">
      <c r="A61" t="inlineStr">
        <is>
          <t>AT-EA60</t>
        </is>
      </c>
      <c r="B61" t="inlineStr">
        <is>
          <t>AT-EA60</t>
        </is>
      </c>
      <c r="C61" t="inlineStr">
        <is>
          <t>Rubber E/EA shock absorber</t>
        </is>
      </c>
      <c r="D61" t="n">
        <v>61.2</v>
      </c>
      <c r="E61" t="n">
        <v>73</v>
      </c>
      <c r="F61" t="n">
        <v>50</v>
      </c>
      <c r="G61" t="n">
        <v>100</v>
      </c>
      <c r="H61" s="3" t="n">
        <v>8</v>
      </c>
      <c r="I61" s="3" t="n">
        <v>0.132</v>
      </c>
      <c r="J61">
        <f>ROUND(I61*Policy!$B$16,0)</f>
        <v/>
      </c>
      <c r="K61">
        <f>ROUND(Policy!$B$18+I61*Policy!$B$19,0)</f>
        <v/>
      </c>
      <c r="L61" s="3" t="n">
        <v>0.344</v>
      </c>
      <c r="M61">
        <f>ROUND(MAX(Policy!$B$22,L61*(Policy!$B$20+Policy!$B$21)),0)</f>
        <v/>
      </c>
      <c r="N61">
        <f>IF(E61&lt;=80,Policy!$B$23,IF(E61&lt;=160,Policy!$B$24,Policy!$B$25))</f>
        <v/>
      </c>
      <c r="O61">
        <f>ROUND(N61/(Policy!$B$27*MAX(1,H61)),0)</f>
        <v/>
      </c>
      <c r="P61">
        <f>J61+K61+M61+O61</f>
        <v/>
      </c>
      <c r="Q61">
        <f>Policy!$B$28</f>
        <v/>
      </c>
      <c r="R61">
        <f>CEILING(P61*(1+Q61/100),IF(P61*(1+Q61/100)&lt;10000,50,100))</f>
        <v/>
      </c>
      <c r="S61">
        <f>IF(R61&gt;0,CEILING(R61*(1-Policy!$B$13/100),IF(R61&lt;10000,50,100)),"")</f>
        <v/>
      </c>
      <c r="T61">
        <f>IF(R61&gt;0,ROUNDUP(R61/Policy!$B$14*(1+Policy!$B$15/100),0),"")</f>
        <v/>
      </c>
      <c r="U61" t="inlineStr">
        <is>
          <t>cost</t>
        </is>
      </c>
      <c r="V61" t="inlineStr">
        <is>
          <t>rubber 0.132 kg + moulding + hardware 0.344 kg + mould 28000/50</t>
        </is>
      </c>
    </row>
    <row r="62">
      <c r="A62" t="inlineStr">
        <is>
          <t>AT-E85</t>
        </is>
      </c>
      <c r="B62" t="inlineStr">
        <is>
          <t>AT-E85</t>
        </is>
      </c>
      <c r="C62" t="inlineStr">
        <is>
          <t>Rubber E/EA shock absorber</t>
        </is>
      </c>
      <c r="D62" t="n">
        <v>86.59999999999999</v>
      </c>
      <c r="E62" t="n">
        <v>70</v>
      </c>
      <c r="F62" t="n">
        <v>60</v>
      </c>
      <c r="G62" t="n">
        <v>120</v>
      </c>
      <c r="H62" s="3" t="n">
        <v>8</v>
      </c>
      <c r="I62" s="3" t="n">
        <v>0.146</v>
      </c>
      <c r="J62">
        <f>ROUND(I62*Policy!$B$16,0)</f>
        <v/>
      </c>
      <c r="K62">
        <f>ROUND(Policy!$B$18+I62*Policy!$B$19,0)</f>
        <v/>
      </c>
      <c r="L62" s="3" t="n">
        <v>0.396</v>
      </c>
      <c r="M62">
        <f>ROUND(MAX(Policy!$B$22,L62*(Policy!$B$20+Policy!$B$21)),0)</f>
        <v/>
      </c>
      <c r="N62">
        <f>IF(E62&lt;=80,Policy!$B$23,IF(E62&lt;=160,Policy!$B$24,Policy!$B$25))</f>
        <v/>
      </c>
      <c r="O62">
        <f>ROUND(N62/(Policy!$B$27*MAX(1,H62)),0)</f>
        <v/>
      </c>
      <c r="P62">
        <f>J62+K62+M62+O62</f>
        <v/>
      </c>
      <c r="Q62">
        <f>Policy!$B$28</f>
        <v/>
      </c>
      <c r="R62">
        <f>CEILING(P62*(1+Q62/100),IF(P62*(1+Q62/100)&lt;10000,50,100))</f>
        <v/>
      </c>
      <c r="S62">
        <f>IF(R62&gt;0,CEILING(R62*(1-Policy!$B$13/100),IF(R62&lt;10000,50,100)),"")</f>
        <v/>
      </c>
      <c r="T62">
        <f>IF(R62&gt;0,ROUNDUP(R62/Policy!$B$14*(1+Policy!$B$15/100),0),"")</f>
        <v/>
      </c>
      <c r="U62" t="inlineStr">
        <is>
          <t>cost</t>
        </is>
      </c>
      <c r="V62" t="inlineStr">
        <is>
          <t>rubber 0.146 kg + moulding + hardware 0.396 kg + mould 28000/50</t>
        </is>
      </c>
    </row>
    <row r="63">
      <c r="A63" t="inlineStr">
        <is>
          <t>AT-EA85</t>
        </is>
      </c>
      <c r="B63" t="inlineStr">
        <is>
          <t>AT-EA85</t>
        </is>
      </c>
      <c r="C63" t="inlineStr">
        <is>
          <t>Rubber E/EA shock absorber</t>
        </is>
      </c>
      <c r="D63" t="n">
        <v>86.59999999999999</v>
      </c>
      <c r="E63" t="n">
        <v>80</v>
      </c>
      <c r="F63" t="n">
        <v>60</v>
      </c>
      <c r="G63" t="n">
        <v>120</v>
      </c>
      <c r="H63" s="3" t="n">
        <v>8</v>
      </c>
      <c r="I63" s="3" t="n">
        <v>0.191</v>
      </c>
      <c r="J63">
        <f>ROUND(I63*Policy!$B$16,0)</f>
        <v/>
      </c>
      <c r="K63">
        <f>ROUND(Policy!$B$18+I63*Policy!$B$19,0)</f>
        <v/>
      </c>
      <c r="L63" s="3" t="n">
        <v>0.452</v>
      </c>
      <c r="M63">
        <f>ROUND(MAX(Policy!$B$22,L63*(Policy!$B$20+Policy!$B$21)),0)</f>
        <v/>
      </c>
      <c r="N63">
        <f>IF(E63&lt;=80,Policy!$B$23,IF(E63&lt;=160,Policy!$B$24,Policy!$B$25))</f>
        <v/>
      </c>
      <c r="O63">
        <f>ROUND(N63/(Policy!$B$27*MAX(1,H63)),0)</f>
        <v/>
      </c>
      <c r="P63">
        <f>J63+K63+M63+O63</f>
        <v/>
      </c>
      <c r="Q63">
        <f>Policy!$B$28</f>
        <v/>
      </c>
      <c r="R63">
        <f>CEILING(P63*(1+Q63/100),IF(P63*(1+Q63/100)&lt;10000,50,100))</f>
        <v/>
      </c>
      <c r="S63">
        <f>IF(R63&gt;0,CEILING(R63*(1-Policy!$B$13/100),IF(R63&lt;10000,50,100)),"")</f>
        <v/>
      </c>
      <c r="T63">
        <f>IF(R63&gt;0,ROUNDUP(R63/Policy!$B$14*(1+Policy!$B$15/100),0),"")</f>
        <v/>
      </c>
      <c r="U63" t="inlineStr">
        <is>
          <t>cost</t>
        </is>
      </c>
      <c r="V63" t="inlineStr">
        <is>
          <t>rubber 0.191 kg + moulding + hardware 0.452 kg + mould 28000/50</t>
        </is>
      </c>
    </row>
    <row r="64">
      <c r="A64" t="inlineStr">
        <is>
          <t>AT-E120</t>
        </is>
      </c>
      <c r="B64" t="inlineStr">
        <is>
          <t>AT-E120</t>
        </is>
      </c>
      <c r="C64" t="inlineStr">
        <is>
          <t>Rubber E/EA shock absorber</t>
        </is>
      </c>
      <c r="D64" t="n">
        <v>122.3</v>
      </c>
      <c r="E64" t="n">
        <v>85</v>
      </c>
      <c r="F64" t="n">
        <v>60</v>
      </c>
      <c r="G64" t="n">
        <v>140</v>
      </c>
      <c r="H64" s="3" t="n">
        <v>4</v>
      </c>
      <c r="I64" s="3" t="n">
        <v>0.215</v>
      </c>
      <c r="J64">
        <f>ROUND(I64*Policy!$B$16,0)</f>
        <v/>
      </c>
      <c r="K64">
        <f>ROUND(Policy!$B$18+I64*Policy!$B$19,0)</f>
        <v/>
      </c>
      <c r="L64" s="3" t="n">
        <v>0.5600000000000001</v>
      </c>
      <c r="M64">
        <f>ROUND(MAX(Policy!$B$22,L64*(Policy!$B$20+Policy!$B$21)),0)</f>
        <v/>
      </c>
      <c r="N64">
        <f>IF(E64&lt;=80,Policy!$B$23,IF(E64&lt;=160,Policy!$B$24,Policy!$B$25))</f>
        <v/>
      </c>
      <c r="O64">
        <f>ROUND(N64/(Policy!$B$27*MAX(1,H64)),0)</f>
        <v/>
      </c>
      <c r="P64">
        <f>J64+K64+M64+O64</f>
        <v/>
      </c>
      <c r="Q64">
        <f>Policy!$B$28</f>
        <v/>
      </c>
      <c r="R64">
        <f>CEILING(P64*(1+Q64/100),IF(P64*(1+Q64/100)&lt;10000,50,100))</f>
        <v/>
      </c>
      <c r="S64">
        <f>IF(R64&gt;0,CEILING(R64*(1-Policy!$B$13/100),IF(R64&lt;10000,50,100)),"")</f>
        <v/>
      </c>
      <c r="T64">
        <f>IF(R64&gt;0,ROUNDUP(R64/Policy!$B$14*(1+Policy!$B$15/100),0),"")</f>
        <v/>
      </c>
      <c r="U64" t="inlineStr">
        <is>
          <t>cost</t>
        </is>
      </c>
      <c r="V64" t="inlineStr">
        <is>
          <t>rubber 0.215 kg + moulding + hardware 0.56 kg + mould 45000/50</t>
        </is>
      </c>
    </row>
    <row r="65">
      <c r="A65" t="inlineStr">
        <is>
          <t>AT-EA120</t>
        </is>
      </c>
      <c r="B65" t="inlineStr">
        <is>
          <t>AT-EA120</t>
        </is>
      </c>
      <c r="C65" t="inlineStr">
        <is>
          <t>Rubber E/EA shock absorber</t>
        </is>
      </c>
      <c r="D65" t="n">
        <v>122.3</v>
      </c>
      <c r="E65" t="n">
        <v>101</v>
      </c>
      <c r="F65" t="n">
        <v>60</v>
      </c>
      <c r="G65" t="n">
        <v>140</v>
      </c>
      <c r="H65" s="3" t="n">
        <v>4</v>
      </c>
      <c r="I65" s="3" t="n">
        <v>0.304</v>
      </c>
      <c r="J65">
        <f>ROUND(I65*Policy!$B$16,0)</f>
        <v/>
      </c>
      <c r="K65">
        <f>ROUND(Policy!$B$18+I65*Policy!$B$19,0)</f>
        <v/>
      </c>
      <c r="L65" s="3" t="n">
        <v>0.666</v>
      </c>
      <c r="M65">
        <f>ROUND(MAX(Policy!$B$22,L65*(Policy!$B$20+Policy!$B$21)),0)</f>
        <v/>
      </c>
      <c r="N65">
        <f>IF(E65&lt;=80,Policy!$B$23,IF(E65&lt;=160,Policy!$B$24,Policy!$B$25))</f>
        <v/>
      </c>
      <c r="O65">
        <f>ROUND(N65/(Policy!$B$27*MAX(1,H65)),0)</f>
        <v/>
      </c>
      <c r="P65">
        <f>J65+K65+M65+O65</f>
        <v/>
      </c>
      <c r="Q65">
        <f>Policy!$B$28</f>
        <v/>
      </c>
      <c r="R65">
        <f>CEILING(P65*(1+Q65/100),IF(P65*(1+Q65/100)&lt;10000,50,100))</f>
        <v/>
      </c>
      <c r="S65">
        <f>IF(R65&gt;0,CEILING(R65*(1-Policy!$B$13/100),IF(R65&lt;10000,50,100)),"")</f>
        <v/>
      </c>
      <c r="T65">
        <f>IF(R65&gt;0,ROUNDUP(R65/Policy!$B$14*(1+Policy!$B$15/100),0),"")</f>
        <v/>
      </c>
      <c r="U65" t="inlineStr">
        <is>
          <t>cost</t>
        </is>
      </c>
      <c r="V65" t="inlineStr">
        <is>
          <t>rubber 0.304 kg + moulding + hardware 0.666 kg + mould 45000/50</t>
        </is>
      </c>
    </row>
    <row r="66">
      <c r="A66" t="inlineStr">
        <is>
          <t>AT-E160</t>
        </is>
      </c>
      <c r="B66" t="inlineStr">
        <is>
          <t>AT-E160</t>
        </is>
      </c>
      <c r="C66" t="inlineStr">
        <is>
          <t>Rubber E/EA shock absorber</t>
        </is>
      </c>
      <c r="D66" t="n">
        <v>163.1</v>
      </c>
      <c r="E66" t="n">
        <v>108</v>
      </c>
      <c r="F66" t="n">
        <v>60</v>
      </c>
      <c r="G66" t="n">
        <v>145</v>
      </c>
      <c r="H66" s="3" t="n">
        <v>4</v>
      </c>
      <c r="I66" s="3" t="n">
        <v>0.348</v>
      </c>
      <c r="J66">
        <f>ROUND(I66*Policy!$B$16,0)</f>
        <v/>
      </c>
      <c r="K66">
        <f>ROUND(Policy!$B$18+I66*Policy!$B$19,0)</f>
        <v/>
      </c>
      <c r="L66" s="3" t="n">
        <v>0.738</v>
      </c>
      <c r="M66">
        <f>ROUND(MAX(Policy!$B$22,L66*(Policy!$B$20+Policy!$B$21)),0)</f>
        <v/>
      </c>
      <c r="N66">
        <f>IF(E66&lt;=80,Policy!$B$23,IF(E66&lt;=160,Policy!$B$24,Policy!$B$25))</f>
        <v/>
      </c>
      <c r="O66">
        <f>ROUND(N66/(Policy!$B$27*MAX(1,H66)),0)</f>
        <v/>
      </c>
      <c r="P66">
        <f>J66+K66+M66+O66</f>
        <v/>
      </c>
      <c r="Q66">
        <f>Policy!$B$28</f>
        <v/>
      </c>
      <c r="R66">
        <f>CEILING(P66*(1+Q66/100),IF(P66*(1+Q66/100)&lt;10000,50,100))</f>
        <v/>
      </c>
      <c r="S66">
        <f>IF(R66&gt;0,CEILING(R66*(1-Policy!$B$13/100),IF(R66&lt;10000,50,100)),"")</f>
        <v/>
      </c>
      <c r="T66">
        <f>IF(R66&gt;0,ROUNDUP(R66/Policy!$B$14*(1+Policy!$B$15/100),0),"")</f>
        <v/>
      </c>
      <c r="U66" t="inlineStr">
        <is>
          <t>cost</t>
        </is>
      </c>
      <c r="V66" t="inlineStr">
        <is>
          <t>rubber 0.348 kg + moulding + hardware 0.738 kg + mould 45000/50</t>
        </is>
      </c>
    </row>
    <row r="67">
      <c r="A67" t="inlineStr">
        <is>
          <t>AT-EA160</t>
        </is>
      </c>
      <c r="B67" t="inlineStr">
        <is>
          <t>AT-EA160</t>
        </is>
      </c>
      <c r="C67" t="inlineStr">
        <is>
          <t>Rubber E/EA shock absorber</t>
        </is>
      </c>
      <c r="D67" t="n">
        <v>163.1</v>
      </c>
      <c r="E67" t="n">
        <v>108</v>
      </c>
      <c r="F67" t="n">
        <v>60</v>
      </c>
      <c r="G67" t="n">
        <v>145</v>
      </c>
      <c r="H67" s="3" t="n">
        <v>4</v>
      </c>
      <c r="I67" s="3" t="n">
        <v>0.348</v>
      </c>
      <c r="J67">
        <f>ROUND(I67*Policy!$B$16,0)</f>
        <v/>
      </c>
      <c r="K67">
        <f>ROUND(Policy!$B$18+I67*Policy!$B$19,0)</f>
        <v/>
      </c>
      <c r="L67" s="3" t="n">
        <v>0.738</v>
      </c>
      <c r="M67">
        <f>ROUND(MAX(Policy!$B$22,L67*(Policy!$B$20+Policy!$B$21)),0)</f>
        <v/>
      </c>
      <c r="N67">
        <f>IF(E67&lt;=80,Policy!$B$23,IF(E67&lt;=160,Policy!$B$24,Policy!$B$25))</f>
        <v/>
      </c>
      <c r="O67">
        <f>ROUND(N67/(Policy!$B$27*MAX(1,H67)),0)</f>
        <v/>
      </c>
      <c r="P67">
        <f>J67+K67+M67+O67</f>
        <v/>
      </c>
      <c r="Q67">
        <f>Policy!$B$28</f>
        <v/>
      </c>
      <c r="R67">
        <f>CEILING(P67*(1+Q67/100),IF(P67*(1+Q67/100)&lt;10000,50,100))</f>
        <v/>
      </c>
      <c r="S67">
        <f>IF(R67&gt;0,CEILING(R67*(1-Policy!$B$13/100),IF(R67&lt;10000,50,100)),"")</f>
        <v/>
      </c>
      <c r="T67">
        <f>IF(R67&gt;0,ROUNDUP(R67/Policy!$B$14*(1+Policy!$B$15/100),0),"")</f>
        <v/>
      </c>
      <c r="U67" t="inlineStr">
        <is>
          <t>cost</t>
        </is>
      </c>
      <c r="V67" t="inlineStr">
        <is>
          <t>rubber 0.348 kg + moulding + hardware 0.738 kg + mould 45000/50</t>
        </is>
      </c>
    </row>
    <row r="68">
      <c r="A68" t="inlineStr">
        <is>
          <t>AT-E220</t>
        </is>
      </c>
      <c r="B68" t="inlineStr">
        <is>
          <t>AT-E220</t>
        </is>
      </c>
      <c r="C68" t="inlineStr">
        <is>
          <t>Rubber E/EA shock absorber</t>
        </is>
      </c>
      <c r="D68" t="n">
        <v>224.3</v>
      </c>
      <c r="E68" t="n">
        <v>118</v>
      </c>
      <c r="F68" t="n">
        <v>60</v>
      </c>
      <c r="G68" t="n">
        <v>150</v>
      </c>
      <c r="H68" s="3" t="n">
        <v>4</v>
      </c>
      <c r="I68" s="3" t="n">
        <v>0.415</v>
      </c>
      <c r="J68">
        <f>ROUND(I68*Policy!$B$16,0)</f>
        <v/>
      </c>
      <c r="K68">
        <f>ROUND(Policy!$B$18+I68*Policy!$B$19,0)</f>
        <v/>
      </c>
      <c r="L68" s="3" t="n">
        <v>0.834</v>
      </c>
      <c r="M68">
        <f>ROUND(MAX(Policy!$B$22,L68*(Policy!$B$20+Policy!$B$21)),0)</f>
        <v/>
      </c>
      <c r="N68">
        <f>IF(E68&lt;=80,Policy!$B$23,IF(E68&lt;=160,Policy!$B$24,Policy!$B$25))</f>
        <v/>
      </c>
      <c r="O68">
        <f>ROUND(N68/(Policy!$B$27*MAX(1,H68)),0)</f>
        <v/>
      </c>
      <c r="P68">
        <f>J68+K68+M68+O68</f>
        <v/>
      </c>
      <c r="Q68">
        <f>Policy!$B$28</f>
        <v/>
      </c>
      <c r="R68">
        <f>CEILING(P68*(1+Q68/100),IF(P68*(1+Q68/100)&lt;10000,50,100))</f>
        <v/>
      </c>
      <c r="S68">
        <f>IF(R68&gt;0,CEILING(R68*(1-Policy!$B$13/100),IF(R68&lt;10000,50,100)),"")</f>
        <v/>
      </c>
      <c r="T68">
        <f>IF(R68&gt;0,ROUNDUP(R68/Policy!$B$14*(1+Policy!$B$15/100),0),"")</f>
        <v/>
      </c>
      <c r="U68" t="inlineStr">
        <is>
          <t>cost</t>
        </is>
      </c>
      <c r="V68" t="inlineStr">
        <is>
          <t>rubber 0.415 kg + moulding + hardware 0.834 kg + mould 45000/50</t>
        </is>
      </c>
    </row>
    <row r="69">
      <c r="A69" t="inlineStr">
        <is>
          <t>AT-EA220</t>
        </is>
      </c>
      <c r="B69" t="inlineStr">
        <is>
          <t>AT-EA220</t>
        </is>
      </c>
      <c r="C69" t="inlineStr">
        <is>
          <t>Rubber E/EA shock absorber</t>
        </is>
      </c>
      <c r="D69" t="n">
        <v>224.3</v>
      </c>
      <c r="E69" t="n">
        <v>118</v>
      </c>
      <c r="F69" t="n">
        <v>60</v>
      </c>
      <c r="G69" t="n">
        <v>150</v>
      </c>
      <c r="H69" s="3" t="n">
        <v>4</v>
      </c>
      <c r="I69" s="3" t="n">
        <v>0.415</v>
      </c>
      <c r="J69">
        <f>ROUND(I69*Policy!$B$16,0)</f>
        <v/>
      </c>
      <c r="K69">
        <f>ROUND(Policy!$B$18+I69*Policy!$B$19,0)</f>
        <v/>
      </c>
      <c r="L69" s="3" t="n">
        <v>0.834</v>
      </c>
      <c r="M69">
        <f>ROUND(MAX(Policy!$B$22,L69*(Policy!$B$20+Policy!$B$21)),0)</f>
        <v/>
      </c>
      <c r="N69">
        <f>IF(E69&lt;=80,Policy!$B$23,IF(E69&lt;=160,Policy!$B$24,Policy!$B$25))</f>
        <v/>
      </c>
      <c r="O69">
        <f>ROUND(N69/(Policy!$B$27*MAX(1,H69)),0)</f>
        <v/>
      </c>
      <c r="P69">
        <f>J69+K69+M69+O69</f>
        <v/>
      </c>
      <c r="Q69">
        <f>Policy!$B$28</f>
        <v/>
      </c>
      <c r="R69">
        <f>CEILING(P69*(1+Q69/100),IF(P69*(1+Q69/100)&lt;10000,50,100))</f>
        <v/>
      </c>
      <c r="S69">
        <f>IF(R69&gt;0,CEILING(R69*(1-Policy!$B$13/100),IF(R69&lt;10000,50,100)),"")</f>
        <v/>
      </c>
      <c r="T69">
        <f>IF(R69&gt;0,ROUNDUP(R69/Policy!$B$14*(1+Policy!$B$15/100),0),"")</f>
        <v/>
      </c>
      <c r="U69" t="inlineStr">
        <is>
          <t>cost</t>
        </is>
      </c>
      <c r="V69" t="inlineStr">
        <is>
          <t>rubber 0.415 kg + moulding + hardware 0.834 kg + mould 45000/50</t>
        </is>
      </c>
    </row>
    <row r="70">
      <c r="A70" t="inlineStr">
        <is>
          <t>AT-E300</t>
        </is>
      </c>
      <c r="B70" t="inlineStr">
        <is>
          <t>AT-E300</t>
        </is>
      </c>
      <c r="C70" t="inlineStr">
        <is>
          <t>Rubber E/EA shock absorber</t>
        </is>
      </c>
      <c r="D70" t="n">
        <v>305.8</v>
      </c>
      <c r="E70" t="n">
        <v>125</v>
      </c>
      <c r="F70" t="n">
        <v>65</v>
      </c>
      <c r="G70" t="n">
        <v>155</v>
      </c>
      <c r="H70" s="3" t="n">
        <v>4</v>
      </c>
      <c r="I70" s="3" t="n">
        <v>0.505</v>
      </c>
      <c r="J70">
        <f>ROUND(I70*Policy!$B$16,0)</f>
        <v/>
      </c>
      <c r="K70">
        <f>ROUND(Policy!$B$18+I70*Policy!$B$19,0)</f>
        <v/>
      </c>
      <c r="L70" s="3" t="n">
        <v>0.913</v>
      </c>
      <c r="M70">
        <f>ROUND(MAX(Policy!$B$22,L70*(Policy!$B$20+Policy!$B$21)),0)</f>
        <v/>
      </c>
      <c r="N70">
        <f>IF(E70&lt;=80,Policy!$B$23,IF(E70&lt;=160,Policy!$B$24,Policy!$B$25))</f>
        <v/>
      </c>
      <c r="O70">
        <f>ROUND(N70/(Policy!$B$27*MAX(1,H70)),0)</f>
        <v/>
      </c>
      <c r="P70">
        <f>J70+K70+M70+O70</f>
        <v/>
      </c>
      <c r="Q70">
        <f>Policy!$B$28</f>
        <v/>
      </c>
      <c r="R70">
        <f>CEILING(P70*(1+Q70/100),IF(P70*(1+Q70/100)&lt;10000,50,100))</f>
        <v/>
      </c>
      <c r="S70">
        <f>IF(R70&gt;0,CEILING(R70*(1-Policy!$B$13/100),IF(R70&lt;10000,50,100)),"")</f>
        <v/>
      </c>
      <c r="T70">
        <f>IF(R70&gt;0,ROUNDUP(R70/Policy!$B$14*(1+Policy!$B$15/100),0),"")</f>
        <v/>
      </c>
      <c r="U70" t="inlineStr">
        <is>
          <t>cost</t>
        </is>
      </c>
      <c r="V70" t="inlineStr">
        <is>
          <t>rubber 0.505 kg + moulding + hardware 0.913 kg + mould 45000/50</t>
        </is>
      </c>
    </row>
    <row r="71">
      <c r="A71" t="inlineStr">
        <is>
          <t>AT-EA300</t>
        </is>
      </c>
      <c r="B71" t="inlineStr">
        <is>
          <t>AT-EA300</t>
        </is>
      </c>
      <c r="C71" t="inlineStr">
        <is>
          <t>Rubber E/EA shock absorber</t>
        </is>
      </c>
      <c r="D71" t="n">
        <v>305.8</v>
      </c>
      <c r="E71" t="n">
        <v>125</v>
      </c>
      <c r="F71" t="n">
        <v>65</v>
      </c>
      <c r="G71" t="n">
        <v>155</v>
      </c>
      <c r="H71" s="3" t="n">
        <v>4</v>
      </c>
      <c r="I71" s="3" t="n">
        <v>0.505</v>
      </c>
      <c r="J71">
        <f>ROUND(I71*Policy!$B$16,0)</f>
        <v/>
      </c>
      <c r="K71">
        <f>ROUND(Policy!$B$18+I71*Policy!$B$19,0)</f>
        <v/>
      </c>
      <c r="L71" s="3" t="n">
        <v>0.913</v>
      </c>
      <c r="M71">
        <f>ROUND(MAX(Policy!$B$22,L71*(Policy!$B$20+Policy!$B$21)),0)</f>
        <v/>
      </c>
      <c r="N71">
        <f>IF(E71&lt;=80,Policy!$B$23,IF(E71&lt;=160,Policy!$B$24,Policy!$B$25))</f>
        <v/>
      </c>
      <c r="O71">
        <f>ROUND(N71/(Policy!$B$27*MAX(1,H71)),0)</f>
        <v/>
      </c>
      <c r="P71">
        <f>J71+K71+M71+O71</f>
        <v/>
      </c>
      <c r="Q71">
        <f>Policy!$B$28</f>
        <v/>
      </c>
      <c r="R71">
        <f>CEILING(P71*(1+Q71/100),IF(P71*(1+Q71/100)&lt;10000,50,100))</f>
        <v/>
      </c>
      <c r="S71">
        <f>IF(R71&gt;0,CEILING(R71*(1-Policy!$B$13/100),IF(R71&lt;10000,50,100)),"")</f>
        <v/>
      </c>
      <c r="T71">
        <f>IF(R71&gt;0,ROUNDUP(R71/Policy!$B$14*(1+Policy!$B$15/100),0),"")</f>
        <v/>
      </c>
      <c r="U71" t="inlineStr">
        <is>
          <t>cost</t>
        </is>
      </c>
      <c r="V71" t="inlineStr">
        <is>
          <t>rubber 0.505 kg + moulding + hardware 0.913 kg + mould 45000/50</t>
        </is>
      </c>
    </row>
    <row r="72">
      <c r="A72" t="inlineStr">
        <is>
          <t>AT-E400</t>
        </is>
      </c>
      <c r="B72" t="inlineStr">
        <is>
          <t>AT-E400</t>
        </is>
      </c>
      <c r="C72" t="inlineStr">
        <is>
          <t>Rubber E/EA shock absorber</t>
        </is>
      </c>
      <c r="D72" t="n">
        <v>407.7</v>
      </c>
      <c r="E72" t="n">
        <v>130</v>
      </c>
      <c r="F72" t="n">
        <v>65</v>
      </c>
      <c r="G72" t="n">
        <v>175</v>
      </c>
      <c r="H72" s="3" t="n">
        <v>4</v>
      </c>
      <c r="I72" s="3" t="n">
        <v>0.546</v>
      </c>
      <c r="J72">
        <f>ROUND(I72*Policy!$B$16,0)</f>
        <v/>
      </c>
      <c r="K72">
        <f>ROUND(Policy!$B$18+I72*Policy!$B$19,0)</f>
        <v/>
      </c>
      <c r="L72" s="3" t="n">
        <v>1.072</v>
      </c>
      <c r="M72">
        <f>ROUND(MAX(Policy!$B$22,L72*(Policy!$B$20+Policy!$B$21)),0)</f>
        <v/>
      </c>
      <c r="N72">
        <f>IF(E72&lt;=80,Policy!$B$23,IF(E72&lt;=160,Policy!$B$24,Policy!$B$25))</f>
        <v/>
      </c>
      <c r="O72">
        <f>ROUND(N72/(Policy!$B$27*MAX(1,H72)),0)</f>
        <v/>
      </c>
      <c r="P72">
        <f>J72+K72+M72+O72</f>
        <v/>
      </c>
      <c r="Q72">
        <f>Policy!$B$28</f>
        <v/>
      </c>
      <c r="R72">
        <f>CEILING(P72*(1+Q72/100),IF(P72*(1+Q72/100)&lt;10000,50,100))</f>
        <v/>
      </c>
      <c r="S72">
        <f>IF(R72&gt;0,CEILING(R72*(1-Policy!$B$13/100),IF(R72&lt;10000,50,100)),"")</f>
        <v/>
      </c>
      <c r="T72">
        <f>IF(R72&gt;0,ROUNDUP(R72/Policy!$B$14*(1+Policy!$B$15/100),0),"")</f>
        <v/>
      </c>
      <c r="U72" t="inlineStr">
        <is>
          <t>cost</t>
        </is>
      </c>
      <c r="V72" t="inlineStr">
        <is>
          <t>rubber 0.546 kg + moulding + hardware 1.072 kg + mould 45000/50</t>
        </is>
      </c>
    </row>
    <row r="73">
      <c r="A73" t="inlineStr">
        <is>
          <t>AT-EA400</t>
        </is>
      </c>
      <c r="B73" t="inlineStr">
        <is>
          <t>AT-EA400</t>
        </is>
      </c>
      <c r="C73" t="inlineStr">
        <is>
          <t>Rubber E/EA shock absorber</t>
        </is>
      </c>
      <c r="D73" t="n">
        <v>407.7</v>
      </c>
      <c r="E73" t="n">
        <v>130</v>
      </c>
      <c r="F73" t="n">
        <v>65</v>
      </c>
      <c r="G73" t="n">
        <v>175</v>
      </c>
      <c r="H73" s="3" t="n">
        <v>4</v>
      </c>
      <c r="I73" s="3" t="n">
        <v>0.546</v>
      </c>
      <c r="J73">
        <f>ROUND(I73*Policy!$B$16,0)</f>
        <v/>
      </c>
      <c r="K73">
        <f>ROUND(Policy!$B$18+I73*Policy!$B$19,0)</f>
        <v/>
      </c>
      <c r="L73" s="3" t="n">
        <v>1.072</v>
      </c>
      <c r="M73">
        <f>ROUND(MAX(Policy!$B$22,L73*(Policy!$B$20+Policy!$B$21)),0)</f>
        <v/>
      </c>
      <c r="N73">
        <f>IF(E73&lt;=80,Policy!$B$23,IF(E73&lt;=160,Policy!$B$24,Policy!$B$25))</f>
        <v/>
      </c>
      <c r="O73">
        <f>ROUND(N73/(Policy!$B$27*MAX(1,H73)),0)</f>
        <v/>
      </c>
      <c r="P73">
        <f>J73+K73+M73+O73</f>
        <v/>
      </c>
      <c r="Q73">
        <f>Policy!$B$28</f>
        <v/>
      </c>
      <c r="R73">
        <f>CEILING(P73*(1+Q73/100),IF(P73*(1+Q73/100)&lt;10000,50,100))</f>
        <v/>
      </c>
      <c r="S73">
        <f>IF(R73&gt;0,CEILING(R73*(1-Policy!$B$13/100),IF(R73&lt;10000,50,100)),"")</f>
        <v/>
      </c>
      <c r="T73">
        <f>IF(R73&gt;0,ROUNDUP(R73/Policy!$B$14*(1+Policy!$B$15/100),0),"")</f>
        <v/>
      </c>
      <c r="U73" t="inlineStr">
        <is>
          <t>cost</t>
        </is>
      </c>
      <c r="V73" t="inlineStr">
        <is>
          <t>rubber 0.546 kg + moulding + hardware 1.072 kg + mould 45000/50</t>
        </is>
      </c>
    </row>
    <row r="74">
      <c r="A74" t="inlineStr">
        <is>
          <t>AT-6JX-25N</t>
        </is>
      </c>
      <c r="B74" t="inlineStr">
        <is>
          <t>AT-6JX-25N</t>
        </is>
      </c>
      <c r="C74" t="inlineStr">
        <is>
          <t>Rubber 6JX shock absorber</t>
        </is>
      </c>
      <c r="D74" t="n">
        <v>25</v>
      </c>
      <c r="E74" t="n">
        <v>70</v>
      </c>
      <c r="F74" t="n">
        <v>60</v>
      </c>
      <c r="G74" t="n">
        <v>126</v>
      </c>
      <c r="H74" s="3" t="n">
        <v>8</v>
      </c>
      <c r="I74" s="3" t="n">
        <v>0.146</v>
      </c>
      <c r="J74">
        <f>ROUND(I74*Policy!$B$16,0)</f>
        <v/>
      </c>
      <c r="K74">
        <f>ROUND(Policy!$B$18+I74*Policy!$B$19,0)</f>
        <v/>
      </c>
      <c r="L74" s="3" t="n">
        <v>0.415</v>
      </c>
      <c r="M74">
        <f>ROUND(MAX(Policy!$B$22,L74*(Policy!$B$20+Policy!$B$21)),0)</f>
        <v/>
      </c>
      <c r="N74">
        <f>IF(E74&lt;=80,Policy!$B$23,IF(E74&lt;=160,Policy!$B$24,Policy!$B$25))</f>
        <v/>
      </c>
      <c r="O74">
        <f>ROUND(N74/(Policy!$B$27*MAX(1,H74)),0)</f>
        <v/>
      </c>
      <c r="P74">
        <f>J74+K74+M74+O74</f>
        <v/>
      </c>
      <c r="Q74">
        <f>Policy!$B$28</f>
        <v/>
      </c>
      <c r="R74">
        <f>CEILING(P74*(1+Q74/100),IF(P74*(1+Q74/100)&lt;10000,50,100))</f>
        <v/>
      </c>
      <c r="S74">
        <f>IF(R74&gt;0,CEILING(R74*(1-Policy!$B$13/100),IF(R74&lt;10000,50,100)),"")</f>
        <v/>
      </c>
      <c r="T74">
        <f>IF(R74&gt;0,ROUNDUP(R74/Policy!$B$14*(1+Policy!$B$15/100),0),"")</f>
        <v/>
      </c>
      <c r="U74" t="inlineStr">
        <is>
          <t>cost</t>
        </is>
      </c>
      <c r="V74" t="inlineStr">
        <is>
          <t>rubber 0.146 kg + moulding + hardware 0.415 kg + mould 28000/50</t>
        </is>
      </c>
    </row>
    <row r="75">
      <c r="A75" t="inlineStr">
        <is>
          <t>AT-6JX-25</t>
        </is>
      </c>
      <c r="B75" t="inlineStr">
        <is>
          <t>AT-6JX-25</t>
        </is>
      </c>
      <c r="C75" t="inlineStr">
        <is>
          <t>Rubber 6JX shock absorber</t>
        </is>
      </c>
      <c r="D75" t="n">
        <v>25</v>
      </c>
      <c r="E75" t="n">
        <v>70</v>
      </c>
      <c r="F75" t="n">
        <v>60</v>
      </c>
      <c r="G75" t="n">
        <v>126</v>
      </c>
      <c r="H75" s="3" t="n">
        <v>8</v>
      </c>
      <c r="I75" s="3" t="n">
        <v>0.146</v>
      </c>
      <c r="J75">
        <f>ROUND(I75*Policy!$B$16,0)</f>
        <v/>
      </c>
      <c r="K75">
        <f>ROUND(Policy!$B$18+I75*Policy!$B$19,0)</f>
        <v/>
      </c>
      <c r="L75" s="3" t="n">
        <v>0.415</v>
      </c>
      <c r="M75">
        <f>ROUND(MAX(Policy!$B$22,L75*(Policy!$B$20+Policy!$B$21)),0)</f>
        <v/>
      </c>
      <c r="N75">
        <f>IF(E75&lt;=80,Policy!$B$23,IF(E75&lt;=160,Policy!$B$24,Policy!$B$25))</f>
        <v/>
      </c>
      <c r="O75">
        <f>ROUND(N75/(Policy!$B$27*MAX(1,H75)),0)</f>
        <v/>
      </c>
      <c r="P75">
        <f>J75+K75+M75+O75</f>
        <v/>
      </c>
      <c r="Q75">
        <f>Policy!$B$28</f>
        <v/>
      </c>
      <c r="R75">
        <f>CEILING(P75*(1+Q75/100),IF(P75*(1+Q75/100)&lt;10000,50,100))</f>
        <v/>
      </c>
      <c r="S75">
        <f>IF(R75&gt;0,CEILING(R75*(1-Policy!$B$13/100),IF(R75&lt;10000,50,100)),"")</f>
        <v/>
      </c>
      <c r="T75">
        <f>IF(R75&gt;0,ROUNDUP(R75/Policy!$B$14*(1+Policy!$B$15/100),0),"")</f>
        <v/>
      </c>
      <c r="U75" t="inlineStr">
        <is>
          <t>cost</t>
        </is>
      </c>
      <c r="V75" t="inlineStr">
        <is>
          <t>rubber 0.146 kg + moulding + hardware 0.415 kg + mould 28000/50</t>
        </is>
      </c>
    </row>
    <row r="76">
      <c r="A76" t="inlineStr">
        <is>
          <t>AT-6JX-45N</t>
        </is>
      </c>
      <c r="B76" t="inlineStr">
        <is>
          <t>AT-6JX-45N</t>
        </is>
      </c>
      <c r="C76" t="inlineStr">
        <is>
          <t>Rubber 6JX shock absorber</t>
        </is>
      </c>
      <c r="D76" t="n">
        <v>45</v>
      </c>
      <c r="E76" t="n">
        <v>76</v>
      </c>
      <c r="F76" t="n">
        <v>66</v>
      </c>
      <c r="G76" t="n">
        <v>150</v>
      </c>
      <c r="H76" s="3" t="n">
        <v>8</v>
      </c>
      <c r="I76" s="3" t="n">
        <v>0.189</v>
      </c>
      <c r="J76">
        <f>ROUND(I76*Policy!$B$16,0)</f>
        <v/>
      </c>
      <c r="K76">
        <f>ROUND(Policy!$B$18+I76*Policy!$B$19,0)</f>
        <v/>
      </c>
      <c r="L76" s="3" t="n">
        <v>0.537</v>
      </c>
      <c r="M76">
        <f>ROUND(MAX(Policy!$B$22,L76*(Policy!$B$20+Policy!$B$21)),0)</f>
        <v/>
      </c>
      <c r="N76">
        <f>IF(E76&lt;=80,Policy!$B$23,IF(E76&lt;=160,Policy!$B$24,Policy!$B$25))</f>
        <v/>
      </c>
      <c r="O76">
        <f>ROUND(N76/(Policy!$B$27*MAX(1,H76)),0)</f>
        <v/>
      </c>
      <c r="P76">
        <f>J76+K76+M76+O76</f>
        <v/>
      </c>
      <c r="Q76">
        <f>Policy!$B$28</f>
        <v/>
      </c>
      <c r="R76">
        <f>CEILING(P76*(1+Q76/100),IF(P76*(1+Q76/100)&lt;10000,50,100))</f>
        <v/>
      </c>
      <c r="S76">
        <f>IF(R76&gt;0,CEILING(R76*(1-Policy!$B$13/100),IF(R76&lt;10000,50,100)),"")</f>
        <v/>
      </c>
      <c r="T76">
        <f>IF(R76&gt;0,ROUNDUP(R76/Policy!$B$14*(1+Policy!$B$15/100),0),"")</f>
        <v/>
      </c>
      <c r="U76" t="inlineStr">
        <is>
          <t>cost</t>
        </is>
      </c>
      <c r="V76" t="inlineStr">
        <is>
          <t>rubber 0.189 kg + moulding + hardware 0.537 kg + mould 28000/50</t>
        </is>
      </c>
    </row>
    <row r="77">
      <c r="A77" t="inlineStr">
        <is>
          <t>AT-6JX-45</t>
        </is>
      </c>
      <c r="B77" t="inlineStr">
        <is>
          <t>AT-6JX-45</t>
        </is>
      </c>
      <c r="C77" t="inlineStr">
        <is>
          <t>Rubber 6JX shock absorber</t>
        </is>
      </c>
      <c r="D77" t="n">
        <v>45</v>
      </c>
      <c r="E77" t="n">
        <v>76</v>
      </c>
      <c r="F77" t="n">
        <v>66</v>
      </c>
      <c r="G77" t="n">
        <v>150</v>
      </c>
      <c r="H77" s="3" t="n">
        <v>8</v>
      </c>
      <c r="I77" s="3" t="n">
        <v>0.189</v>
      </c>
      <c r="J77">
        <f>ROUND(I77*Policy!$B$16,0)</f>
        <v/>
      </c>
      <c r="K77">
        <f>ROUND(Policy!$B$18+I77*Policy!$B$19,0)</f>
        <v/>
      </c>
      <c r="L77" s="3" t="n">
        <v>0.537</v>
      </c>
      <c r="M77">
        <f>ROUND(MAX(Policy!$B$22,L77*(Policy!$B$20+Policy!$B$21)),0)</f>
        <v/>
      </c>
      <c r="N77">
        <f>IF(E77&lt;=80,Policy!$B$23,IF(E77&lt;=160,Policy!$B$24,Policy!$B$25))</f>
        <v/>
      </c>
      <c r="O77">
        <f>ROUND(N77/(Policy!$B$27*MAX(1,H77)),0)</f>
        <v/>
      </c>
      <c r="P77">
        <f>J77+K77+M77+O77</f>
        <v/>
      </c>
      <c r="Q77">
        <f>Policy!$B$28</f>
        <v/>
      </c>
      <c r="R77">
        <f>CEILING(P77*(1+Q77/100),IF(P77*(1+Q77/100)&lt;10000,50,100))</f>
        <v/>
      </c>
      <c r="S77">
        <f>IF(R77&gt;0,CEILING(R77*(1-Policy!$B$13/100),IF(R77&lt;10000,50,100)),"")</f>
        <v/>
      </c>
      <c r="T77">
        <f>IF(R77&gt;0,ROUNDUP(R77/Policy!$B$14*(1+Policy!$B$15/100),0),"")</f>
        <v/>
      </c>
      <c r="U77" t="inlineStr">
        <is>
          <t>cost</t>
        </is>
      </c>
      <c r="V77" t="inlineStr">
        <is>
          <t>rubber 0.189 kg + moulding + hardware 0.537 kg + mould 28000/50</t>
        </is>
      </c>
    </row>
    <row r="78">
      <c r="A78" t="inlineStr">
        <is>
          <t>AT-6JX-70N</t>
        </is>
      </c>
      <c r="B78" t="inlineStr">
        <is>
          <t>AT-6JX-70N</t>
        </is>
      </c>
      <c r="C78" t="inlineStr">
        <is>
          <t>Rubber 6JX shock absorber</t>
        </is>
      </c>
      <c r="D78" t="n">
        <v>70</v>
      </c>
      <c r="E78" t="n">
        <v>82</v>
      </c>
      <c r="F78" t="n">
        <v>68</v>
      </c>
      <c r="G78" t="n">
        <v>168</v>
      </c>
      <c r="H78" s="3" t="n">
        <v>4</v>
      </c>
      <c r="I78" s="3" t="n">
        <v>0.227</v>
      </c>
      <c r="J78">
        <f>ROUND(I78*Policy!$B$16,0)</f>
        <v/>
      </c>
      <c r="K78">
        <f>ROUND(Policy!$B$18+I78*Policy!$B$19,0)</f>
        <v/>
      </c>
      <c r="L78" s="3" t="n">
        <v>0.649</v>
      </c>
      <c r="M78">
        <f>ROUND(MAX(Policy!$B$22,L78*(Policy!$B$20+Policy!$B$21)),0)</f>
        <v/>
      </c>
      <c r="N78">
        <f>IF(E78&lt;=80,Policy!$B$23,IF(E78&lt;=160,Policy!$B$24,Policy!$B$25))</f>
        <v/>
      </c>
      <c r="O78">
        <f>ROUND(N78/(Policy!$B$27*MAX(1,H78)),0)</f>
        <v/>
      </c>
      <c r="P78">
        <f>J78+K78+M78+O78</f>
        <v/>
      </c>
      <c r="Q78">
        <f>Policy!$B$28</f>
        <v/>
      </c>
      <c r="R78">
        <f>CEILING(P78*(1+Q78/100),IF(P78*(1+Q78/100)&lt;10000,50,100))</f>
        <v/>
      </c>
      <c r="S78">
        <f>IF(R78&gt;0,CEILING(R78*(1-Policy!$B$13/100),IF(R78&lt;10000,50,100)),"")</f>
        <v/>
      </c>
      <c r="T78">
        <f>IF(R78&gt;0,ROUNDUP(R78/Policy!$B$14*(1+Policy!$B$15/100),0),"")</f>
        <v/>
      </c>
      <c r="U78" t="inlineStr">
        <is>
          <t>cost</t>
        </is>
      </c>
      <c r="V78" t="inlineStr">
        <is>
          <t>rubber 0.227 kg + moulding + hardware 0.649 kg + mould 45000/50</t>
        </is>
      </c>
    </row>
    <row r="79">
      <c r="A79" t="inlineStr">
        <is>
          <t>AT-6JX-70</t>
        </is>
      </c>
      <c r="B79" t="inlineStr">
        <is>
          <t>AT-6JX-70</t>
        </is>
      </c>
      <c r="C79" t="inlineStr">
        <is>
          <t>Rubber 6JX shock absorber</t>
        </is>
      </c>
      <c r="D79" t="n">
        <v>70</v>
      </c>
      <c r="E79" t="n">
        <v>82</v>
      </c>
      <c r="F79" t="n">
        <v>68</v>
      </c>
      <c r="G79" t="n">
        <v>168</v>
      </c>
      <c r="H79" s="3" t="n">
        <v>4</v>
      </c>
      <c r="I79" s="3" t="n">
        <v>0.227</v>
      </c>
      <c r="J79">
        <f>ROUND(I79*Policy!$B$16,0)</f>
        <v/>
      </c>
      <c r="K79">
        <f>ROUND(Policy!$B$18+I79*Policy!$B$19,0)</f>
        <v/>
      </c>
      <c r="L79" s="3" t="n">
        <v>0.649</v>
      </c>
      <c r="M79">
        <f>ROUND(MAX(Policy!$B$22,L79*(Policy!$B$20+Policy!$B$21)),0)</f>
        <v/>
      </c>
      <c r="N79">
        <f>IF(E79&lt;=80,Policy!$B$23,IF(E79&lt;=160,Policy!$B$24,Policy!$B$25))</f>
        <v/>
      </c>
      <c r="O79">
        <f>ROUND(N79/(Policy!$B$27*MAX(1,H79)),0)</f>
        <v/>
      </c>
      <c r="P79">
        <f>J79+K79+M79+O79</f>
        <v/>
      </c>
      <c r="Q79">
        <f>Policy!$B$28</f>
        <v/>
      </c>
      <c r="R79">
        <f>CEILING(P79*(1+Q79/100),IF(P79*(1+Q79/100)&lt;10000,50,100))</f>
        <v/>
      </c>
      <c r="S79">
        <f>IF(R79&gt;0,CEILING(R79*(1-Policy!$B$13/100),IF(R79&lt;10000,50,100)),"")</f>
        <v/>
      </c>
      <c r="T79">
        <f>IF(R79&gt;0,ROUNDUP(R79/Policy!$B$14*(1+Policy!$B$15/100),0),"")</f>
        <v/>
      </c>
      <c r="U79" t="inlineStr">
        <is>
          <t>cost</t>
        </is>
      </c>
      <c r="V79" t="inlineStr">
        <is>
          <t>rubber 0.227 kg + moulding + hardware 0.649 kg + mould 45000/50</t>
        </is>
      </c>
    </row>
    <row r="80">
      <c r="A80" t="inlineStr">
        <is>
          <t>AT-6JX-100N</t>
        </is>
      </c>
      <c r="B80" t="inlineStr">
        <is>
          <t>AT-6JX-100N</t>
        </is>
      </c>
      <c r="C80" t="inlineStr">
        <is>
          <t>Rubber 6JX shock absorber</t>
        </is>
      </c>
      <c r="D80" t="n">
        <v>100</v>
      </c>
      <c r="E80" t="n">
        <v>82</v>
      </c>
      <c r="F80" t="n">
        <v>70</v>
      </c>
      <c r="G80" t="n">
        <v>168</v>
      </c>
      <c r="H80" s="3" t="n">
        <v>4</v>
      </c>
      <c r="I80" s="3" t="n">
        <v>0.234</v>
      </c>
      <c r="J80">
        <f>ROUND(I80*Policy!$B$16,0)</f>
        <v/>
      </c>
      <c r="K80">
        <f>ROUND(Policy!$B$18+I80*Policy!$B$19,0)</f>
        <v/>
      </c>
      <c r="L80" s="3" t="n">
        <v>0.649</v>
      </c>
      <c r="M80">
        <f>ROUND(MAX(Policy!$B$22,L80*(Policy!$B$20+Policy!$B$21)),0)</f>
        <v/>
      </c>
      <c r="N80">
        <f>IF(E80&lt;=80,Policy!$B$23,IF(E80&lt;=160,Policy!$B$24,Policy!$B$25))</f>
        <v/>
      </c>
      <c r="O80">
        <f>ROUND(N80/(Policy!$B$27*MAX(1,H80)),0)</f>
        <v/>
      </c>
      <c r="P80">
        <f>J80+K80+M80+O80</f>
        <v/>
      </c>
      <c r="Q80">
        <f>Policy!$B$28</f>
        <v/>
      </c>
      <c r="R80">
        <f>CEILING(P80*(1+Q80/100),IF(P80*(1+Q80/100)&lt;10000,50,100))</f>
        <v/>
      </c>
      <c r="S80">
        <f>IF(R80&gt;0,CEILING(R80*(1-Policy!$B$13/100),IF(R80&lt;10000,50,100)),"")</f>
        <v/>
      </c>
      <c r="T80">
        <f>IF(R80&gt;0,ROUNDUP(R80/Policy!$B$14*(1+Policy!$B$15/100),0),"")</f>
        <v/>
      </c>
      <c r="U80" t="inlineStr">
        <is>
          <t>cost</t>
        </is>
      </c>
      <c r="V80" t="inlineStr">
        <is>
          <t>rubber 0.234 kg + moulding + hardware 0.649 kg + mould 45000/50</t>
        </is>
      </c>
    </row>
    <row r="81">
      <c r="A81" t="inlineStr">
        <is>
          <t>AT-6JX-100</t>
        </is>
      </c>
      <c r="B81" t="inlineStr">
        <is>
          <t>AT-6JX-100</t>
        </is>
      </c>
      <c r="C81" t="inlineStr">
        <is>
          <t>Rubber 6JX shock absorber</t>
        </is>
      </c>
      <c r="D81" t="n">
        <v>100</v>
      </c>
      <c r="E81" t="n">
        <v>82</v>
      </c>
      <c r="F81" t="n">
        <v>70</v>
      </c>
      <c r="G81" t="n">
        <v>168</v>
      </c>
      <c r="H81" s="3" t="n">
        <v>4</v>
      </c>
      <c r="I81" s="3" t="n">
        <v>0.234</v>
      </c>
      <c r="J81">
        <f>ROUND(I81*Policy!$B$16,0)</f>
        <v/>
      </c>
      <c r="K81">
        <f>ROUND(Policy!$B$18+I81*Policy!$B$19,0)</f>
        <v/>
      </c>
      <c r="L81" s="3" t="n">
        <v>0.649</v>
      </c>
      <c r="M81">
        <f>ROUND(MAX(Policy!$B$22,L81*(Policy!$B$20+Policy!$B$21)),0)</f>
        <v/>
      </c>
      <c r="N81">
        <f>IF(E81&lt;=80,Policy!$B$23,IF(E81&lt;=160,Policy!$B$24,Policy!$B$25))</f>
        <v/>
      </c>
      <c r="O81">
        <f>ROUND(N81/(Policy!$B$27*MAX(1,H81)),0)</f>
        <v/>
      </c>
      <c r="P81">
        <f>J81+K81+M81+O81</f>
        <v/>
      </c>
      <c r="Q81">
        <f>Policy!$B$28</f>
        <v/>
      </c>
      <c r="R81">
        <f>CEILING(P81*(1+Q81/100),IF(P81*(1+Q81/100)&lt;10000,50,100))</f>
        <v/>
      </c>
      <c r="S81">
        <f>IF(R81&gt;0,CEILING(R81*(1-Policy!$B$13/100),IF(R81&lt;10000,50,100)),"")</f>
        <v/>
      </c>
      <c r="T81">
        <f>IF(R81&gt;0,ROUNDUP(R81/Policy!$B$14*(1+Policy!$B$15/100),0),"")</f>
        <v/>
      </c>
      <c r="U81" t="inlineStr">
        <is>
          <t>cost</t>
        </is>
      </c>
      <c r="V81" t="inlineStr">
        <is>
          <t>rubber 0.234 kg + moulding + hardware 0.649 kg + mould 45000/50</t>
        </is>
      </c>
    </row>
    <row r="82">
      <c r="A82" t="inlineStr">
        <is>
          <t>AT-6JX-200N</t>
        </is>
      </c>
      <c r="B82" t="inlineStr">
        <is>
          <t>AT-6JX-200N</t>
        </is>
      </c>
      <c r="C82" t="inlineStr">
        <is>
          <t>Rubber 6JX shock absorber</t>
        </is>
      </c>
      <c r="D82" t="n">
        <v>200</v>
      </c>
      <c r="E82" t="n">
        <v>88</v>
      </c>
      <c r="F82" t="n">
        <v>80</v>
      </c>
      <c r="G82" t="n">
        <v>172</v>
      </c>
      <c r="H82" s="3" t="n">
        <v>4</v>
      </c>
      <c r="I82" s="3" t="n">
        <v>0.308</v>
      </c>
      <c r="J82">
        <f>ROUND(I82*Policy!$B$16,0)</f>
        <v/>
      </c>
      <c r="K82">
        <f>ROUND(Policy!$B$18+I82*Policy!$B$19,0)</f>
        <v/>
      </c>
      <c r="L82" s="3" t="n">
        <v>0.713</v>
      </c>
      <c r="M82">
        <f>ROUND(MAX(Policy!$B$22,L82*(Policy!$B$20+Policy!$B$21)),0)</f>
        <v/>
      </c>
      <c r="N82">
        <f>IF(E82&lt;=80,Policy!$B$23,IF(E82&lt;=160,Policy!$B$24,Policy!$B$25))</f>
        <v/>
      </c>
      <c r="O82">
        <f>ROUND(N82/(Policy!$B$27*MAX(1,H82)),0)</f>
        <v/>
      </c>
      <c r="P82">
        <f>J82+K82+M82+O82</f>
        <v/>
      </c>
      <c r="Q82">
        <f>Policy!$B$28</f>
        <v/>
      </c>
      <c r="R82">
        <f>CEILING(P82*(1+Q82/100),IF(P82*(1+Q82/100)&lt;10000,50,100))</f>
        <v/>
      </c>
      <c r="S82">
        <f>IF(R82&gt;0,CEILING(R82*(1-Policy!$B$13/100),IF(R82&lt;10000,50,100)),"")</f>
        <v/>
      </c>
      <c r="T82">
        <f>IF(R82&gt;0,ROUNDUP(R82/Policy!$B$14*(1+Policy!$B$15/100),0),"")</f>
        <v/>
      </c>
      <c r="U82" t="inlineStr">
        <is>
          <t>cost</t>
        </is>
      </c>
      <c r="V82" t="inlineStr">
        <is>
          <t>rubber 0.308 kg + moulding + hardware 0.713 kg + mould 45000/50</t>
        </is>
      </c>
    </row>
    <row r="83">
      <c r="A83" t="inlineStr">
        <is>
          <t>AT-6JX-200</t>
        </is>
      </c>
      <c r="B83" t="inlineStr">
        <is>
          <t>AT-6JX-200</t>
        </is>
      </c>
      <c r="C83" t="inlineStr">
        <is>
          <t>Rubber 6JX shock absorber</t>
        </is>
      </c>
      <c r="D83" t="n">
        <v>200</v>
      </c>
      <c r="E83" t="n">
        <v>88</v>
      </c>
      <c r="F83" t="n">
        <v>80</v>
      </c>
      <c r="G83" t="n">
        <v>172</v>
      </c>
      <c r="H83" s="3" t="n">
        <v>4</v>
      </c>
      <c r="I83" s="3" t="n">
        <v>0.308</v>
      </c>
      <c r="J83">
        <f>ROUND(I83*Policy!$B$16,0)</f>
        <v/>
      </c>
      <c r="K83">
        <f>ROUND(Policy!$B$18+I83*Policy!$B$19,0)</f>
        <v/>
      </c>
      <c r="L83" s="3" t="n">
        <v>0.713</v>
      </c>
      <c r="M83">
        <f>ROUND(MAX(Policy!$B$22,L83*(Policy!$B$20+Policy!$B$21)),0)</f>
        <v/>
      </c>
      <c r="N83">
        <f>IF(E83&lt;=80,Policy!$B$23,IF(E83&lt;=160,Policy!$B$24,Policy!$B$25))</f>
        <v/>
      </c>
      <c r="O83">
        <f>ROUND(N83/(Policy!$B$27*MAX(1,H83)),0)</f>
        <v/>
      </c>
      <c r="P83">
        <f>J83+K83+M83+O83</f>
        <v/>
      </c>
      <c r="Q83">
        <f>Policy!$B$28</f>
        <v/>
      </c>
      <c r="R83">
        <f>CEILING(P83*(1+Q83/100),IF(P83*(1+Q83/100)&lt;10000,50,100))</f>
        <v/>
      </c>
      <c r="S83">
        <f>IF(R83&gt;0,CEILING(R83*(1-Policy!$B$13/100),IF(R83&lt;10000,50,100)),"")</f>
        <v/>
      </c>
      <c r="T83">
        <f>IF(R83&gt;0,ROUNDUP(R83/Policy!$B$14*(1+Policy!$B$15/100),0),"")</f>
        <v/>
      </c>
      <c r="U83" t="inlineStr">
        <is>
          <t>cost</t>
        </is>
      </c>
      <c r="V83" t="inlineStr">
        <is>
          <t>rubber 0.308 kg + moulding + hardware 0.713 kg + mould 45000/50</t>
        </is>
      </c>
    </row>
    <row r="84">
      <c r="A84" t="inlineStr">
        <is>
          <t>AT-6JX-400N</t>
        </is>
      </c>
      <c r="B84" t="inlineStr">
        <is>
          <t>AT-6JX-400N</t>
        </is>
      </c>
      <c r="C84" t="inlineStr">
        <is>
          <t>Rubber 6JX shock absorber</t>
        </is>
      </c>
      <c r="D84" t="n">
        <v>400</v>
      </c>
      <c r="E84" t="n">
        <v>140</v>
      </c>
      <c r="F84" t="n">
        <v>108</v>
      </c>
      <c r="G84" t="n">
        <v>248</v>
      </c>
      <c r="H84" s="3" t="n">
        <v>4</v>
      </c>
      <c r="I84" s="3" t="n">
        <v>1.052</v>
      </c>
      <c r="J84">
        <f>ROUND(I84*Policy!$B$16,0)</f>
        <v/>
      </c>
      <c r="K84">
        <f>ROUND(Policy!$B$18+I84*Policy!$B$19,0)</f>
        <v/>
      </c>
      <c r="L84" s="3" t="n">
        <v>1.635</v>
      </c>
      <c r="M84">
        <f>ROUND(MAX(Policy!$B$22,L84*(Policy!$B$20+Policy!$B$21)),0)</f>
        <v/>
      </c>
      <c r="N84">
        <f>IF(E84&lt;=80,Policy!$B$23,IF(E84&lt;=160,Policy!$B$24,Policy!$B$25))</f>
        <v/>
      </c>
      <c r="O84">
        <f>ROUND(N84/(Policy!$B$27*MAX(1,H84)),0)</f>
        <v/>
      </c>
      <c r="P84">
        <f>J84+K84+M84+O84</f>
        <v/>
      </c>
      <c r="Q84">
        <f>Policy!$B$28</f>
        <v/>
      </c>
      <c r="R84">
        <f>CEILING(P84*(1+Q84/100),IF(P84*(1+Q84/100)&lt;10000,50,100))</f>
        <v/>
      </c>
      <c r="S84">
        <f>IF(R84&gt;0,CEILING(R84*(1-Policy!$B$13/100),IF(R84&lt;10000,50,100)),"")</f>
        <v/>
      </c>
      <c r="T84">
        <f>IF(R84&gt;0,ROUNDUP(R84/Policy!$B$14*(1+Policy!$B$15/100),0),"")</f>
        <v/>
      </c>
      <c r="U84" t="inlineStr">
        <is>
          <t>cost</t>
        </is>
      </c>
      <c r="V84" t="inlineStr">
        <is>
          <t>rubber 1.052 kg + moulding + hardware 1.635 kg + mould 45000/50</t>
        </is>
      </c>
    </row>
    <row r="85">
      <c r="A85" t="inlineStr">
        <is>
          <t>AT-6JX-400</t>
        </is>
      </c>
      <c r="B85" t="inlineStr">
        <is>
          <t>AT-6JX-400</t>
        </is>
      </c>
      <c r="C85" t="inlineStr">
        <is>
          <t>Rubber 6JX shock absorber</t>
        </is>
      </c>
      <c r="D85" t="n">
        <v>400</v>
      </c>
      <c r="E85" t="n">
        <v>140</v>
      </c>
      <c r="F85" t="n">
        <v>108</v>
      </c>
      <c r="G85" t="n">
        <v>248</v>
      </c>
      <c r="H85" s="3" t="n">
        <v>4</v>
      </c>
      <c r="I85" s="3" t="n">
        <v>1.052</v>
      </c>
      <c r="J85">
        <f>ROUND(I85*Policy!$B$16,0)</f>
        <v/>
      </c>
      <c r="K85">
        <f>ROUND(Policy!$B$18+I85*Policy!$B$19,0)</f>
        <v/>
      </c>
      <c r="L85" s="3" t="n">
        <v>1.635</v>
      </c>
      <c r="M85">
        <f>ROUND(MAX(Policy!$B$22,L85*(Policy!$B$20+Policy!$B$21)),0)</f>
        <v/>
      </c>
      <c r="N85">
        <f>IF(E85&lt;=80,Policy!$B$23,IF(E85&lt;=160,Policy!$B$24,Policy!$B$25))</f>
        <v/>
      </c>
      <c r="O85">
        <f>ROUND(N85/(Policy!$B$27*MAX(1,H85)),0)</f>
        <v/>
      </c>
      <c r="P85">
        <f>J85+K85+M85+O85</f>
        <v/>
      </c>
      <c r="Q85">
        <f>Policy!$B$28</f>
        <v/>
      </c>
      <c r="R85">
        <f>CEILING(P85*(1+Q85/100),IF(P85*(1+Q85/100)&lt;10000,50,100))</f>
        <v/>
      </c>
      <c r="S85">
        <f>IF(R85&gt;0,CEILING(R85*(1-Policy!$B$13/100),IF(R85&lt;10000,50,100)),"")</f>
        <v/>
      </c>
      <c r="T85">
        <f>IF(R85&gt;0,ROUNDUP(R85/Policy!$B$14*(1+Policy!$B$15/100),0),"")</f>
        <v/>
      </c>
      <c r="U85" t="inlineStr">
        <is>
          <t>cost</t>
        </is>
      </c>
      <c r="V85" t="inlineStr">
        <is>
          <t>rubber 1.052 kg + moulding + hardware 1.635 kg + mould 45000/50</t>
        </is>
      </c>
    </row>
    <row r="86">
      <c r="A86" t="inlineStr">
        <is>
          <t>AT-6JX-600N</t>
        </is>
      </c>
      <c r="B86" t="inlineStr">
        <is>
          <t>AT-6JX-600N</t>
        </is>
      </c>
      <c r="C86" t="inlineStr">
        <is>
          <t>Rubber 6JX shock absorber</t>
        </is>
      </c>
      <c r="D86" t="n">
        <v>600</v>
      </c>
      <c r="E86" t="n">
        <v>150</v>
      </c>
      <c r="F86" t="n">
        <v>112</v>
      </c>
      <c r="G86" t="n">
        <v>260</v>
      </c>
      <c r="H86" s="3" t="n">
        <v>4</v>
      </c>
      <c r="I86" s="3" t="n">
        <v>1.252</v>
      </c>
      <c r="J86">
        <f>ROUND(I86*Policy!$B$16,0)</f>
        <v/>
      </c>
      <c r="K86">
        <f>ROUND(Policy!$B$18+I86*Policy!$B$19,0)</f>
        <v/>
      </c>
      <c r="L86" s="3" t="n">
        <v>1.837</v>
      </c>
      <c r="M86">
        <f>ROUND(MAX(Policy!$B$22,L86*(Policy!$B$20+Policy!$B$21)),0)</f>
        <v/>
      </c>
      <c r="N86">
        <f>IF(E86&lt;=80,Policy!$B$23,IF(E86&lt;=160,Policy!$B$24,Policy!$B$25))</f>
        <v/>
      </c>
      <c r="O86">
        <f>ROUND(N86/(Policy!$B$27*MAX(1,H86)),0)</f>
        <v/>
      </c>
      <c r="P86">
        <f>J86+K86+M86+O86</f>
        <v/>
      </c>
      <c r="Q86">
        <f>Policy!$B$28</f>
        <v/>
      </c>
      <c r="R86">
        <f>CEILING(P86*(1+Q86/100),IF(P86*(1+Q86/100)&lt;10000,50,100))</f>
        <v/>
      </c>
      <c r="S86">
        <f>IF(R86&gt;0,CEILING(R86*(1-Policy!$B$13/100),IF(R86&lt;10000,50,100)),"")</f>
        <v/>
      </c>
      <c r="T86">
        <f>IF(R86&gt;0,ROUNDUP(R86/Policy!$B$14*(1+Policy!$B$15/100),0),"")</f>
        <v/>
      </c>
      <c r="U86" t="inlineStr">
        <is>
          <t>cost</t>
        </is>
      </c>
      <c r="V86" t="inlineStr">
        <is>
          <t>rubber 1.252 kg + moulding + hardware 1.837 kg + mould 45000/50</t>
        </is>
      </c>
    </row>
    <row r="87">
      <c r="A87" t="inlineStr">
        <is>
          <t>AT-6JX-600</t>
        </is>
      </c>
      <c r="B87" t="inlineStr">
        <is>
          <t>AT-6JX-600</t>
        </is>
      </c>
      <c r="C87" t="inlineStr">
        <is>
          <t>Rubber 6JX shock absorber</t>
        </is>
      </c>
      <c r="D87" t="n">
        <v>600</v>
      </c>
      <c r="E87" t="n">
        <v>150</v>
      </c>
      <c r="F87" t="n">
        <v>112</v>
      </c>
      <c r="G87" t="n">
        <v>260</v>
      </c>
      <c r="H87" s="3" t="n">
        <v>4</v>
      </c>
      <c r="I87" s="3" t="n">
        <v>1.252</v>
      </c>
      <c r="J87">
        <f>ROUND(I87*Policy!$B$16,0)</f>
        <v/>
      </c>
      <c r="K87">
        <f>ROUND(Policy!$B$18+I87*Policy!$B$19,0)</f>
        <v/>
      </c>
      <c r="L87" s="3" t="n">
        <v>1.837</v>
      </c>
      <c r="M87">
        <f>ROUND(MAX(Policy!$B$22,L87*(Policy!$B$20+Policy!$B$21)),0)</f>
        <v/>
      </c>
      <c r="N87">
        <f>IF(E87&lt;=80,Policy!$B$23,IF(E87&lt;=160,Policy!$B$24,Policy!$B$25))</f>
        <v/>
      </c>
      <c r="O87">
        <f>ROUND(N87/(Policy!$B$27*MAX(1,H87)),0)</f>
        <v/>
      </c>
      <c r="P87">
        <f>J87+K87+M87+O87</f>
        <v/>
      </c>
      <c r="Q87">
        <f>Policy!$B$28</f>
        <v/>
      </c>
      <c r="R87">
        <f>CEILING(P87*(1+Q87/100),IF(P87*(1+Q87/100)&lt;10000,50,100))</f>
        <v/>
      </c>
      <c r="S87">
        <f>IF(R87&gt;0,CEILING(R87*(1-Policy!$B$13/100),IF(R87&lt;10000,50,100)),"")</f>
        <v/>
      </c>
      <c r="T87">
        <f>IF(R87&gt;0,ROUNDUP(R87/Policy!$B$14*(1+Policy!$B$15/100),0),"")</f>
        <v/>
      </c>
      <c r="U87" t="inlineStr">
        <is>
          <t>cost</t>
        </is>
      </c>
      <c r="V87" t="inlineStr">
        <is>
          <t>rubber 1.252 kg + moulding + hardware 1.837 kg + mould 45000/50</t>
        </is>
      </c>
    </row>
    <row r="88">
      <c r="A88" t="inlineStr">
        <is>
          <t>AT-6JX-900N</t>
        </is>
      </c>
      <c r="B88" t="inlineStr">
        <is>
          <t>AT-6JX-900N</t>
        </is>
      </c>
      <c r="C88" t="inlineStr">
        <is>
          <t>Rubber 6JX shock absorber</t>
        </is>
      </c>
      <c r="D88" t="n">
        <v>900</v>
      </c>
      <c r="E88" t="n">
        <v>165</v>
      </c>
      <c r="F88" t="n">
        <v>115</v>
      </c>
      <c r="G88" t="n">
        <v>290</v>
      </c>
      <c r="H88" s="3" t="n">
        <v>1</v>
      </c>
      <c r="I88" s="3" t="n">
        <v>1.555</v>
      </c>
      <c r="J88">
        <f>ROUND(I88*Policy!$B$16,0)</f>
        <v/>
      </c>
      <c r="K88">
        <f>ROUND(Policy!$B$18+I88*Policy!$B$19,0)</f>
        <v/>
      </c>
      <c r="L88" s="3" t="n">
        <v>2.254</v>
      </c>
      <c r="M88">
        <f>ROUND(MAX(Policy!$B$22,L88*(Policy!$B$20+Policy!$B$21)),0)</f>
        <v/>
      </c>
      <c r="N88">
        <f>IF(E88&lt;=80,Policy!$B$23,IF(E88&lt;=160,Policy!$B$24,Policy!$B$25))</f>
        <v/>
      </c>
      <c r="O88">
        <f>ROUND(N88/(Policy!$B$27*MAX(1,H88)),0)</f>
        <v/>
      </c>
      <c r="P88">
        <f>J88+K88+M88+O88</f>
        <v/>
      </c>
      <c r="Q88">
        <f>Policy!$B$28</f>
        <v/>
      </c>
      <c r="R88">
        <f>CEILING(P88*(1+Q88/100),IF(P88*(1+Q88/100)&lt;10000,50,100))</f>
        <v/>
      </c>
      <c r="S88">
        <f>IF(R88&gt;0,CEILING(R88*(1-Policy!$B$13/100),IF(R88&lt;10000,50,100)),"")</f>
        <v/>
      </c>
      <c r="T88">
        <f>IF(R88&gt;0,ROUNDUP(R88/Policy!$B$14*(1+Policy!$B$15/100),0),"")</f>
        <v/>
      </c>
      <c r="U88" t="inlineStr">
        <is>
          <t>cost</t>
        </is>
      </c>
      <c r="V88" t="inlineStr">
        <is>
          <t>rubber 1.555 kg + moulding + hardware 2.254 kg + mould 80000/50</t>
        </is>
      </c>
    </row>
    <row r="89">
      <c r="A89" t="inlineStr">
        <is>
          <t>AT-6JX-900</t>
        </is>
      </c>
      <c r="B89" t="inlineStr">
        <is>
          <t>AT-6JX-900</t>
        </is>
      </c>
      <c r="C89" t="inlineStr">
        <is>
          <t>Rubber 6JX shock absorber</t>
        </is>
      </c>
      <c r="D89" t="n">
        <v>900</v>
      </c>
      <c r="E89" t="n">
        <v>165</v>
      </c>
      <c r="F89" t="n">
        <v>115</v>
      </c>
      <c r="G89" t="n">
        <v>290</v>
      </c>
      <c r="H89" s="3" t="n">
        <v>1</v>
      </c>
      <c r="I89" s="3" t="n">
        <v>1.555</v>
      </c>
      <c r="J89">
        <f>ROUND(I89*Policy!$B$16,0)</f>
        <v/>
      </c>
      <c r="K89">
        <f>ROUND(Policy!$B$18+I89*Policy!$B$19,0)</f>
        <v/>
      </c>
      <c r="L89" s="3" t="n">
        <v>2.254</v>
      </c>
      <c r="M89">
        <f>ROUND(MAX(Policy!$B$22,L89*(Policy!$B$20+Policy!$B$21)),0)</f>
        <v/>
      </c>
      <c r="N89">
        <f>IF(E89&lt;=80,Policy!$B$23,IF(E89&lt;=160,Policy!$B$24,Policy!$B$25))</f>
        <v/>
      </c>
      <c r="O89">
        <f>ROUND(N89/(Policy!$B$27*MAX(1,H89)),0)</f>
        <v/>
      </c>
      <c r="P89">
        <f>J89+K89+M89+O89</f>
        <v/>
      </c>
      <c r="Q89">
        <f>Policy!$B$28</f>
        <v/>
      </c>
      <c r="R89">
        <f>CEILING(P89*(1+Q89/100),IF(P89*(1+Q89/100)&lt;10000,50,100))</f>
        <v/>
      </c>
      <c r="S89">
        <f>IF(R89&gt;0,CEILING(R89*(1-Policy!$B$13/100),IF(R89&lt;10000,50,100)),"")</f>
        <v/>
      </c>
      <c r="T89">
        <f>IF(R89&gt;0,ROUNDUP(R89/Policy!$B$14*(1+Policy!$B$15/100),0),"")</f>
        <v/>
      </c>
      <c r="U89" t="inlineStr">
        <is>
          <t>cost</t>
        </is>
      </c>
      <c r="V89" t="inlineStr">
        <is>
          <t>rubber 1.555 kg + moulding + hardware 2.254 kg + mould 80000/50</t>
        </is>
      </c>
    </row>
    <row r="90">
      <c r="A90" t="inlineStr">
        <is>
          <t>AT-6JX-1200N</t>
        </is>
      </c>
      <c r="B90" t="inlineStr">
        <is>
          <t>AT-6JX-1200N</t>
        </is>
      </c>
      <c r="C90" t="inlineStr">
        <is>
          <t>Rubber 6JX shock absorber</t>
        </is>
      </c>
      <c r="D90" t="n">
        <v>1200</v>
      </c>
      <c r="E90" t="n">
        <v>193</v>
      </c>
      <c r="F90" t="n">
        <v>135</v>
      </c>
      <c r="G90" t="n">
        <v>340</v>
      </c>
      <c r="H90" s="3" t="n">
        <v>1</v>
      </c>
      <c r="I90" s="3" t="n">
        <v>2.498</v>
      </c>
      <c r="J90">
        <f>ROUND(I90*Policy!$B$16,0)</f>
        <v/>
      </c>
      <c r="K90">
        <f>ROUND(Policy!$B$18+I90*Policy!$B$19,0)</f>
        <v/>
      </c>
      <c r="L90" s="3" t="n">
        <v>3.091</v>
      </c>
      <c r="M90">
        <f>ROUND(MAX(Policy!$B$22,L90*(Policy!$B$20+Policy!$B$21)),0)</f>
        <v/>
      </c>
      <c r="N90">
        <f>IF(E90&lt;=80,Policy!$B$23,IF(E90&lt;=160,Policy!$B$24,Policy!$B$25))</f>
        <v/>
      </c>
      <c r="O90">
        <f>ROUND(N90/(Policy!$B$27*MAX(1,H90)),0)</f>
        <v/>
      </c>
      <c r="P90">
        <f>J90+K90+M90+O90</f>
        <v/>
      </c>
      <c r="Q90">
        <f>Policy!$B$28</f>
        <v/>
      </c>
      <c r="R90">
        <f>CEILING(P90*(1+Q90/100),IF(P90*(1+Q90/100)&lt;10000,50,100))</f>
        <v/>
      </c>
      <c r="S90">
        <f>IF(R90&gt;0,CEILING(R90*(1-Policy!$B$13/100),IF(R90&lt;10000,50,100)),"")</f>
        <v/>
      </c>
      <c r="T90">
        <f>IF(R90&gt;0,ROUNDUP(R90/Policy!$B$14*(1+Policy!$B$15/100),0),"")</f>
        <v/>
      </c>
      <c r="U90" t="inlineStr">
        <is>
          <t>cost</t>
        </is>
      </c>
      <c r="V90" t="inlineStr">
        <is>
          <t>rubber 2.498 kg + moulding + hardware 3.091 kg + mould 80000/50</t>
        </is>
      </c>
    </row>
    <row r="91">
      <c r="A91" t="inlineStr">
        <is>
          <t>AT-6JX-1200</t>
        </is>
      </c>
      <c r="B91" t="inlineStr">
        <is>
          <t>AT-6JX-1200</t>
        </is>
      </c>
      <c r="C91" t="inlineStr">
        <is>
          <t>Rubber 6JX shock absorber</t>
        </is>
      </c>
      <c r="D91" t="n">
        <v>1200</v>
      </c>
      <c r="E91" t="n">
        <v>193</v>
      </c>
      <c r="F91" t="n">
        <v>135</v>
      </c>
      <c r="G91" t="n">
        <v>340</v>
      </c>
      <c r="H91" s="3" t="n">
        <v>1</v>
      </c>
      <c r="I91" s="3" t="n">
        <v>2.498</v>
      </c>
      <c r="J91">
        <f>ROUND(I91*Policy!$B$16,0)</f>
        <v/>
      </c>
      <c r="K91">
        <f>ROUND(Policy!$B$18+I91*Policy!$B$19,0)</f>
        <v/>
      </c>
      <c r="L91" s="3" t="n">
        <v>3.091</v>
      </c>
      <c r="M91">
        <f>ROUND(MAX(Policy!$B$22,L91*(Policy!$B$20+Policy!$B$21)),0)</f>
        <v/>
      </c>
      <c r="N91">
        <f>IF(E91&lt;=80,Policy!$B$23,IF(E91&lt;=160,Policy!$B$24,Policy!$B$25))</f>
        <v/>
      </c>
      <c r="O91">
        <f>ROUND(N91/(Policy!$B$27*MAX(1,H91)),0)</f>
        <v/>
      </c>
      <c r="P91">
        <f>J91+K91+M91+O91</f>
        <v/>
      </c>
      <c r="Q91">
        <f>Policy!$B$28</f>
        <v/>
      </c>
      <c r="R91">
        <f>CEILING(P91*(1+Q91/100),IF(P91*(1+Q91/100)&lt;10000,50,100))</f>
        <v/>
      </c>
      <c r="S91">
        <f>IF(R91&gt;0,CEILING(R91*(1-Policy!$B$13/100),IF(R91&lt;10000,50,100)),"")</f>
        <v/>
      </c>
      <c r="T91">
        <f>IF(R91&gt;0,ROUNDUP(R91/Policy!$B$14*(1+Policy!$B$15/100),0),"")</f>
        <v/>
      </c>
      <c r="U91" t="inlineStr">
        <is>
          <t>cost</t>
        </is>
      </c>
      <c r="V91" t="inlineStr">
        <is>
          <t>rubber 2.498 kg + moulding + hardware 3.091 kg + mould 80000/50</t>
        </is>
      </c>
    </row>
    <row r="92">
      <c r="A92" t="inlineStr">
        <is>
          <t>AT-SH-500</t>
        </is>
      </c>
      <c r="B92" t="inlineStr">
        <is>
          <t>AT-SH-500</t>
        </is>
      </c>
      <c r="C92" t="inlineStr">
        <is>
          <t>Rubber SH isolator</t>
        </is>
      </c>
      <c r="D92" t="n">
        <v>500</v>
      </c>
      <c r="E92" t="n">
        <v>90</v>
      </c>
      <c r="F92" t="n">
        <v>68</v>
      </c>
      <c r="G92" t="n">
        <v>230</v>
      </c>
      <c r="H92" s="3" t="n">
        <v>4</v>
      </c>
      <c r="I92" s="3" t="n">
        <v>0.274</v>
      </c>
      <c r="J92">
        <f>ROUND(I92*Policy!$B$16,0)</f>
        <v/>
      </c>
      <c r="K92">
        <f>ROUND(Policy!$B$18+I92*Policy!$B$19,0)</f>
        <v/>
      </c>
      <c r="L92" s="3" t="n">
        <v>0.975</v>
      </c>
      <c r="M92">
        <f>ROUND(MAX(Policy!$B$22,L92*(Policy!$B$20+Policy!$B$21)),0)</f>
        <v/>
      </c>
      <c r="N92">
        <f>IF(E92&lt;=80,Policy!$B$23,IF(E92&lt;=160,Policy!$B$24,Policy!$B$25))</f>
        <v/>
      </c>
      <c r="O92">
        <f>ROUND(N92/(Policy!$B$27*MAX(1,H92)),0)</f>
        <v/>
      </c>
      <c r="P92">
        <f>J92+K92+M92+O92</f>
        <v/>
      </c>
      <c r="Q92" t="n">
        <v>0</v>
      </c>
      <c r="R92" s="3" t="n">
        <v>25000</v>
      </c>
      <c r="S92">
        <f>IF(R92&gt;0,CEILING(R92*(1-Policy!$B$13/100),IF(R92&lt;10000,50,100)),"")</f>
        <v/>
      </c>
      <c r="T92">
        <f>IF(R92&gt;0,ROUNDUP(R92/Policy!$B$14*(1+Policy!$B$15/100),0),"")</f>
        <v/>
      </c>
      <c r="U92" t="inlineStr">
        <is>
          <t>file</t>
        </is>
      </c>
      <c r="V92" t="inlineStr">
        <is>
          <t>rubber 0.274 kg + moulding + hardware 0.975 kg + mould 45000/50</t>
        </is>
      </c>
    </row>
    <row r="93">
      <c r="A93" t="inlineStr">
        <is>
          <t>AT-SH-750</t>
        </is>
      </c>
      <c r="B93" t="inlineStr">
        <is>
          <t>AT-SH-750</t>
        </is>
      </c>
      <c r="C93" t="inlineStr">
        <is>
          <t>Rubber SH isolator</t>
        </is>
      </c>
      <c r="D93" t="n">
        <v>750</v>
      </c>
      <c r="E93" t="n">
        <v>110</v>
      </c>
      <c r="F93" t="n">
        <v>68</v>
      </c>
      <c r="G93" t="n">
        <v>280</v>
      </c>
      <c r="H93" s="3" t="n">
        <v>4</v>
      </c>
      <c r="I93" s="3" t="n">
        <v>0.409</v>
      </c>
      <c r="J93">
        <f>ROUND(I93*Policy!$B$16,0)</f>
        <v/>
      </c>
      <c r="K93">
        <f>ROUND(Policy!$B$18+I93*Policy!$B$19,0)</f>
        <v/>
      </c>
      <c r="L93" s="3" t="n">
        <v>1.451</v>
      </c>
      <c r="M93">
        <f>ROUND(MAX(Policy!$B$22,L93*(Policy!$B$20+Policy!$B$21)),0)</f>
        <v/>
      </c>
      <c r="N93">
        <f>IF(E93&lt;=80,Policy!$B$23,IF(E93&lt;=160,Policy!$B$24,Policy!$B$25))</f>
        <v/>
      </c>
      <c r="O93">
        <f>ROUND(N93/(Policy!$B$27*MAX(1,H93)),0)</f>
        <v/>
      </c>
      <c r="P93">
        <f>J93+K93+M93+O93</f>
        <v/>
      </c>
      <c r="Q93" t="n">
        <v>50</v>
      </c>
      <c r="R93" s="3" t="n">
        <v>33300</v>
      </c>
      <c r="S93">
        <f>IF(R93&gt;0,CEILING(R93*(1-Policy!$B$13/100),IF(R93&lt;10000,50,100)),"")</f>
        <v/>
      </c>
      <c r="T93">
        <f>IF(R93&gt;0,ROUNDUP(R93/Policy!$B$14*(1+Policy!$B$15/100),0),"")</f>
        <v/>
      </c>
      <c r="U93" t="inlineStr">
        <is>
          <t>model</t>
        </is>
      </c>
      <c r="V93" t="inlineStr">
        <is>
          <t>scaled from AT-SH-500 by load^0.7</t>
        </is>
      </c>
    </row>
    <row r="94">
      <c r="A94" t="inlineStr">
        <is>
          <t>AT-SH-1150</t>
        </is>
      </c>
      <c r="B94" t="inlineStr">
        <is>
          <t>AT-SH-1150</t>
        </is>
      </c>
      <c r="C94" t="inlineStr">
        <is>
          <t>Rubber SH isolator</t>
        </is>
      </c>
      <c r="D94" t="n">
        <v>1150</v>
      </c>
      <c r="H94" s="3" t="n">
        <v>4</v>
      </c>
      <c r="I94" s="3" t="n">
        <v>0.627</v>
      </c>
      <c r="J94">
        <f>ROUND(I94*Policy!$B$16,0)</f>
        <v/>
      </c>
      <c r="K94">
        <f>ROUND(Policy!$B$18+I94*Policy!$B$19,0)</f>
        <v/>
      </c>
      <c r="L94" s="3" t="n">
        <v>1.929</v>
      </c>
      <c r="M94">
        <f>ROUND(MAX(Policy!$B$22,L94*(Policy!$B$20+Policy!$B$21)),0)</f>
        <v/>
      </c>
      <c r="N94">
        <f>IF(E94&lt;=80,Policy!$B$23,IF(E94&lt;=160,Policy!$B$24,Policy!$B$25))</f>
        <v/>
      </c>
      <c r="O94">
        <f>ROUND(N94/(Policy!$B$27*MAX(1,H94)),0)</f>
        <v/>
      </c>
      <c r="P94">
        <f>J94+K94+M94+O94</f>
        <v/>
      </c>
      <c r="Q94" t="n">
        <v>50</v>
      </c>
      <c r="R94" s="3" t="n">
        <v>44800</v>
      </c>
      <c r="S94">
        <f>IF(R94&gt;0,CEILING(R94*(1-Policy!$B$13/100),IF(R94&lt;10000,50,100)),"")</f>
        <v/>
      </c>
      <c r="T94">
        <f>IF(R94&gt;0,ROUNDUP(R94/Policy!$B$14*(1+Policy!$B$15/100),0),"")</f>
        <v/>
      </c>
      <c r="U94" t="inlineStr">
        <is>
          <t>model</t>
        </is>
      </c>
      <c r="V94" t="inlineStr">
        <is>
          <t>scaled from AT-SH-500 by load^0.7</t>
        </is>
      </c>
    </row>
    <row r="95">
      <c r="A95" t="inlineStr">
        <is>
          <t>AT-SH-1750</t>
        </is>
      </c>
      <c r="B95" t="inlineStr">
        <is>
          <t>AT-SH-1750</t>
        </is>
      </c>
      <c r="C95" t="inlineStr">
        <is>
          <t>Rubber SH isolator</t>
        </is>
      </c>
      <c r="D95" t="n">
        <v>1750</v>
      </c>
      <c r="H95" s="3" t="n">
        <v>4</v>
      </c>
      <c r="I95" s="3" t="n">
        <v>0.954</v>
      </c>
      <c r="J95">
        <f>ROUND(I95*Policy!$B$16,0)</f>
        <v/>
      </c>
      <c r="K95">
        <f>ROUND(Policy!$B$18+I95*Policy!$B$19,0)</f>
        <v/>
      </c>
      <c r="L95" s="3" t="n">
        <v>2.552</v>
      </c>
      <c r="M95">
        <f>ROUND(MAX(Policy!$B$22,L95*(Policy!$B$20+Policy!$B$21)),0)</f>
        <v/>
      </c>
      <c r="N95">
        <f>IF(E95&lt;=80,Policy!$B$23,IF(E95&lt;=160,Policy!$B$24,Policy!$B$25))</f>
        <v/>
      </c>
      <c r="O95">
        <f>ROUND(N95/(Policy!$B$27*MAX(1,H95)),0)</f>
        <v/>
      </c>
      <c r="P95">
        <f>J95+K95+M95+O95</f>
        <v/>
      </c>
      <c r="Q95" t="n">
        <v>50</v>
      </c>
      <c r="R95" s="3" t="n">
        <v>60100</v>
      </c>
      <c r="S95">
        <f>IF(R95&gt;0,CEILING(R95*(1-Policy!$B$13/100),IF(R95&lt;10000,50,100)),"")</f>
        <v/>
      </c>
      <c r="T95">
        <f>IF(R95&gt;0,ROUNDUP(R95/Policy!$B$14*(1+Policy!$B$15/100),0),"")</f>
        <v/>
      </c>
      <c r="U95" t="inlineStr">
        <is>
          <t>model</t>
        </is>
      </c>
      <c r="V95" t="inlineStr">
        <is>
          <t>scaled from AT-SH-500 by load^0.7</t>
        </is>
      </c>
    </row>
    <row r="96">
      <c r="A96" t="inlineStr">
        <is>
          <t>AT-SH-2200A</t>
        </is>
      </c>
      <c r="B96" t="inlineStr">
        <is>
          <t>AT-SH-2200A</t>
        </is>
      </c>
      <c r="C96" t="inlineStr">
        <is>
          <t>Rubber SH isolator</t>
        </is>
      </c>
      <c r="D96" t="n">
        <v>2200</v>
      </c>
      <c r="H96" s="3" t="n">
        <v>4</v>
      </c>
      <c r="I96" s="3" t="n">
        <v>1.199</v>
      </c>
      <c r="J96">
        <f>ROUND(I96*Policy!$B$16,0)</f>
        <v/>
      </c>
      <c r="K96">
        <f>ROUND(Policy!$B$18+I96*Policy!$B$19,0)</f>
        <v/>
      </c>
      <c r="L96" s="3" t="n">
        <v>2.973</v>
      </c>
      <c r="M96">
        <f>ROUND(MAX(Policy!$B$22,L96*(Policy!$B$20+Policy!$B$21)),0)</f>
        <v/>
      </c>
      <c r="N96">
        <f>IF(E96&lt;=80,Policy!$B$23,IF(E96&lt;=160,Policy!$B$24,Policy!$B$25))</f>
        <v/>
      </c>
      <c r="O96">
        <f>ROUND(N96/(Policy!$B$27*MAX(1,H96)),0)</f>
        <v/>
      </c>
      <c r="P96">
        <f>J96+K96+M96+O96</f>
        <v/>
      </c>
      <c r="Q96" t="n">
        <v>50</v>
      </c>
      <c r="R96" s="3" t="n">
        <v>70600</v>
      </c>
      <c r="S96">
        <f>IF(R96&gt;0,CEILING(R96*(1-Policy!$B$13/100),IF(R96&lt;10000,50,100)),"")</f>
        <v/>
      </c>
      <c r="T96">
        <f>IF(R96&gt;0,ROUNDUP(R96/Policy!$B$14*(1+Policy!$B$15/100),0),"")</f>
        <v/>
      </c>
      <c r="U96" t="inlineStr">
        <is>
          <t>model</t>
        </is>
      </c>
      <c r="V96" t="inlineStr">
        <is>
          <t>scaled from AT-SH-500 by load^0.7</t>
        </is>
      </c>
    </row>
    <row r="97">
      <c r="A97" t="inlineStr">
        <is>
          <t>AT-SH-2200B</t>
        </is>
      </c>
      <c r="B97" t="inlineStr">
        <is>
          <t>AT-SH-2200B</t>
        </is>
      </c>
      <c r="C97" t="inlineStr">
        <is>
          <t>Rubber SH isolator</t>
        </is>
      </c>
      <c r="D97" t="n">
        <v>2200</v>
      </c>
      <c r="H97" s="3" t="n">
        <v>4</v>
      </c>
      <c r="I97" s="3" t="n">
        <v>1.199</v>
      </c>
      <c r="J97">
        <f>ROUND(I97*Policy!$B$16,0)</f>
        <v/>
      </c>
      <c r="K97">
        <f>ROUND(Policy!$B$18+I97*Policy!$B$19,0)</f>
        <v/>
      </c>
      <c r="L97" s="3" t="n">
        <v>2.973</v>
      </c>
      <c r="M97">
        <f>ROUND(MAX(Policy!$B$22,L97*(Policy!$B$20+Policy!$B$21)),0)</f>
        <v/>
      </c>
      <c r="N97">
        <f>IF(E97&lt;=80,Policy!$B$23,IF(E97&lt;=160,Policy!$B$24,Policy!$B$25))</f>
        <v/>
      </c>
      <c r="O97">
        <f>ROUND(N97/(Policy!$B$27*MAX(1,H97)),0)</f>
        <v/>
      </c>
      <c r="P97">
        <f>J97+K97+M97+O97</f>
        <v/>
      </c>
      <c r="Q97" t="n">
        <v>50</v>
      </c>
      <c r="R97" s="3" t="n">
        <v>70600</v>
      </c>
      <c r="S97">
        <f>IF(R97&gt;0,CEILING(R97*(1-Policy!$B$13/100),IF(R97&lt;10000,50,100)),"")</f>
        <v/>
      </c>
      <c r="T97">
        <f>IF(R97&gt;0,ROUNDUP(R97/Policy!$B$14*(1+Policy!$B$15/100),0),"")</f>
        <v/>
      </c>
      <c r="U97" t="inlineStr">
        <is>
          <t>model</t>
        </is>
      </c>
      <c r="V97" t="inlineStr">
        <is>
          <t>scaled from AT-SH-500 by load^0.7</t>
        </is>
      </c>
    </row>
    <row r="98">
      <c r="A98" t="inlineStr">
        <is>
          <t>AT-WH-150</t>
        </is>
      </c>
      <c r="B98" t="inlineStr">
        <is>
          <t>AT-WH-150</t>
        </is>
      </c>
      <c r="C98" t="inlineStr">
        <is>
          <t>Rubber WH/WHG isolator</t>
        </is>
      </c>
      <c r="D98" t="n">
        <v>152.9</v>
      </c>
      <c r="E98" t="n">
        <v>127</v>
      </c>
      <c r="F98" t="n">
        <v>80</v>
      </c>
      <c r="G98" t="n">
        <v>185</v>
      </c>
      <c r="H98" s="3" t="n">
        <v>4</v>
      </c>
      <c r="I98" s="3" t="n">
        <v>0.641</v>
      </c>
      <c r="J98">
        <f>ROUND(I98*Policy!$B$16,0)</f>
        <v/>
      </c>
      <c r="K98">
        <f>ROUND(Policy!$B$18+I98*Policy!$B$19,0)</f>
        <v/>
      </c>
      <c r="L98" s="3" t="n">
        <v>1.107</v>
      </c>
      <c r="M98">
        <f>ROUND(MAX(Policy!$B$22,L98*(Policy!$B$20+Policy!$B$21)),0)</f>
        <v/>
      </c>
      <c r="N98">
        <f>IF(E98&lt;=80,Policy!$B$23,IF(E98&lt;=160,Policy!$B$24,Policy!$B$25))</f>
        <v/>
      </c>
      <c r="O98">
        <f>ROUND(N98/(Policy!$B$27*MAX(1,H98)),0)</f>
        <v/>
      </c>
      <c r="P98">
        <f>J98+K98+M98+O98</f>
        <v/>
      </c>
      <c r="Q98">
        <f>Policy!$B$28</f>
        <v/>
      </c>
      <c r="R98">
        <f>CEILING(P98*(1+Q98/100),IF(P98*(1+Q98/100)&lt;10000,50,100))</f>
        <v/>
      </c>
      <c r="S98">
        <f>IF(R98&gt;0,CEILING(R98*(1-Policy!$B$13/100),IF(R98&lt;10000,50,100)),"")</f>
        <v/>
      </c>
      <c r="T98">
        <f>IF(R98&gt;0,ROUNDUP(R98/Policy!$B$14*(1+Policy!$B$15/100),0),"")</f>
        <v/>
      </c>
      <c r="U98" t="inlineStr">
        <is>
          <t>cost</t>
        </is>
      </c>
      <c r="V98" t="inlineStr">
        <is>
          <t>rubber 0.641 kg + moulding + hardware 1.107 kg + mould 45000/50</t>
        </is>
      </c>
    </row>
    <row r="99">
      <c r="A99" t="inlineStr">
        <is>
          <t>AT-WH-250</t>
        </is>
      </c>
      <c r="B99" t="inlineStr">
        <is>
          <t>AT-WH-250</t>
        </is>
      </c>
      <c r="C99" t="inlineStr">
        <is>
          <t>Rubber WH/WHG isolator</t>
        </is>
      </c>
      <c r="D99" t="n">
        <v>254.8</v>
      </c>
      <c r="E99" t="n">
        <v>127</v>
      </c>
      <c r="F99" t="n">
        <v>80</v>
      </c>
      <c r="G99" t="n">
        <v>185</v>
      </c>
      <c r="H99" s="3" t="n">
        <v>4</v>
      </c>
      <c r="I99" s="3" t="n">
        <v>0.641</v>
      </c>
      <c r="J99">
        <f>ROUND(I99*Policy!$B$16,0)</f>
        <v/>
      </c>
      <c r="K99">
        <f>ROUND(Policy!$B$18+I99*Policy!$B$19,0)</f>
        <v/>
      </c>
      <c r="L99" s="3" t="n">
        <v>1.107</v>
      </c>
      <c r="M99">
        <f>ROUND(MAX(Policy!$B$22,L99*(Policy!$B$20+Policy!$B$21)),0)</f>
        <v/>
      </c>
      <c r="N99">
        <f>IF(E99&lt;=80,Policy!$B$23,IF(E99&lt;=160,Policy!$B$24,Policy!$B$25))</f>
        <v/>
      </c>
      <c r="O99">
        <f>ROUND(N99/(Policy!$B$27*MAX(1,H99)),0)</f>
        <v/>
      </c>
      <c r="P99">
        <f>J99+K99+M99+O99</f>
        <v/>
      </c>
      <c r="Q99">
        <f>Policy!$B$28</f>
        <v/>
      </c>
      <c r="R99">
        <f>CEILING(P99*(1+Q99/100),IF(P99*(1+Q99/100)&lt;10000,50,100))</f>
        <v/>
      </c>
      <c r="S99">
        <f>IF(R99&gt;0,CEILING(R99*(1-Policy!$B$13/100),IF(R99&lt;10000,50,100)),"")</f>
        <v/>
      </c>
      <c r="T99">
        <f>IF(R99&gt;0,ROUNDUP(R99/Policy!$B$14*(1+Policy!$B$15/100),0),"")</f>
        <v/>
      </c>
      <c r="U99" t="inlineStr">
        <is>
          <t>cost</t>
        </is>
      </c>
      <c r="V99" t="inlineStr">
        <is>
          <t>rubber 0.641 kg + moulding + hardware 1.107 kg + mould 45000/50</t>
        </is>
      </c>
    </row>
    <row r="100">
      <c r="A100" t="inlineStr">
        <is>
          <t>AT-WH-400</t>
        </is>
      </c>
      <c r="B100" t="inlineStr">
        <is>
          <t>AT-WH-400</t>
        </is>
      </c>
      <c r="C100" t="inlineStr">
        <is>
          <t>Rubber WH/WHG isolator</t>
        </is>
      </c>
      <c r="D100" t="n">
        <v>407.7</v>
      </c>
      <c r="E100" t="n">
        <v>127</v>
      </c>
      <c r="F100" t="n">
        <v>80</v>
      </c>
      <c r="G100" t="n">
        <v>185</v>
      </c>
      <c r="H100" s="3" t="n">
        <v>4</v>
      </c>
      <c r="I100" s="3" t="n">
        <v>0.641</v>
      </c>
      <c r="J100">
        <f>ROUND(I100*Policy!$B$16,0)</f>
        <v/>
      </c>
      <c r="K100">
        <f>ROUND(Policy!$B$18+I100*Policy!$B$19,0)</f>
        <v/>
      </c>
      <c r="L100" s="3" t="n">
        <v>1.107</v>
      </c>
      <c r="M100">
        <f>ROUND(MAX(Policy!$B$22,L100*(Policy!$B$20+Policy!$B$21)),0)</f>
        <v/>
      </c>
      <c r="N100">
        <f>IF(E100&lt;=80,Policy!$B$23,IF(E100&lt;=160,Policy!$B$24,Policy!$B$25))</f>
        <v/>
      </c>
      <c r="O100">
        <f>ROUND(N100/(Policy!$B$27*MAX(1,H100)),0)</f>
        <v/>
      </c>
      <c r="P100">
        <f>J100+K100+M100+O100</f>
        <v/>
      </c>
      <c r="Q100">
        <f>Policy!$B$28</f>
        <v/>
      </c>
      <c r="R100">
        <f>CEILING(P100*(1+Q100/100),IF(P100*(1+Q100/100)&lt;10000,50,100))</f>
        <v/>
      </c>
      <c r="S100">
        <f>IF(R100&gt;0,CEILING(R100*(1-Policy!$B$13/100),IF(R100&lt;10000,50,100)),"")</f>
        <v/>
      </c>
      <c r="T100">
        <f>IF(R100&gt;0,ROUNDUP(R100/Policy!$B$14*(1+Policy!$B$15/100),0),"")</f>
        <v/>
      </c>
      <c r="U100" t="inlineStr">
        <is>
          <t>cost</t>
        </is>
      </c>
      <c r="V100" t="inlineStr">
        <is>
          <t>rubber 0.641 kg + moulding + hardware 1.107 kg + mould 45000/50</t>
        </is>
      </c>
    </row>
    <row r="101">
      <c r="A101" t="inlineStr">
        <is>
          <t>AT-WHG-600</t>
        </is>
      </c>
      <c r="B101" t="inlineStr">
        <is>
          <t>AT-WHG-600</t>
        </is>
      </c>
      <c r="C101" t="inlineStr">
        <is>
          <t>Rubber WH/WHG isolator</t>
        </is>
      </c>
      <c r="D101" t="n">
        <v>611.6</v>
      </c>
      <c r="E101" t="n">
        <v>144</v>
      </c>
      <c r="F101" t="n">
        <v>100</v>
      </c>
      <c r="G101" t="n">
        <v>280</v>
      </c>
      <c r="H101" s="3" t="n">
        <v>4</v>
      </c>
      <c r="I101" s="3" t="n">
        <v>1.03</v>
      </c>
      <c r="J101">
        <f>ROUND(I101*Policy!$B$16,0)</f>
        <v/>
      </c>
      <c r="K101">
        <f>ROUND(Policy!$B$18+I101*Policy!$B$19,0)</f>
        <v/>
      </c>
      <c r="L101" s="3" t="n">
        <v>1.899</v>
      </c>
      <c r="M101">
        <f>ROUND(MAX(Policy!$B$22,L101*(Policy!$B$20+Policy!$B$21)),0)</f>
        <v/>
      </c>
      <c r="N101">
        <f>IF(E101&lt;=80,Policy!$B$23,IF(E101&lt;=160,Policy!$B$24,Policy!$B$25))</f>
        <v/>
      </c>
      <c r="O101">
        <f>ROUND(N101/(Policy!$B$27*MAX(1,H101)),0)</f>
        <v/>
      </c>
      <c r="P101">
        <f>J101+K101+M101+O101</f>
        <v/>
      </c>
      <c r="Q101">
        <f>Policy!$B$28</f>
        <v/>
      </c>
      <c r="R101">
        <f>CEILING(P101*(1+Q101/100),IF(P101*(1+Q101/100)&lt;10000,50,100))</f>
        <v/>
      </c>
      <c r="S101">
        <f>IF(R101&gt;0,CEILING(R101*(1-Policy!$B$13/100),IF(R101&lt;10000,50,100)),"")</f>
        <v/>
      </c>
      <c r="T101">
        <f>IF(R101&gt;0,ROUNDUP(R101/Policy!$B$14*(1+Policy!$B$15/100),0),"")</f>
        <v/>
      </c>
      <c r="U101" t="inlineStr">
        <is>
          <t>cost</t>
        </is>
      </c>
      <c r="V101" t="inlineStr">
        <is>
          <t>rubber 1.03 kg + moulding + hardware 1.899 kg + mould 45000/50</t>
        </is>
      </c>
    </row>
    <row r="102">
      <c r="A102" t="inlineStr">
        <is>
          <t>AT-WHG-800</t>
        </is>
      </c>
      <c r="B102" t="inlineStr">
        <is>
          <t>AT-WHG-800</t>
        </is>
      </c>
      <c r="C102" t="inlineStr">
        <is>
          <t>Rubber WH/WHG isolator</t>
        </is>
      </c>
      <c r="D102" t="n">
        <v>815.5</v>
      </c>
      <c r="E102" t="n">
        <v>144</v>
      </c>
      <c r="F102" t="n">
        <v>100</v>
      </c>
      <c r="G102" t="n">
        <v>334</v>
      </c>
      <c r="H102" s="3" t="n">
        <v>4</v>
      </c>
      <c r="I102" s="3" t="n">
        <v>1.03</v>
      </c>
      <c r="J102">
        <f>ROUND(I102*Policy!$B$16,0)</f>
        <v/>
      </c>
      <c r="K102">
        <f>ROUND(Policy!$B$18+I102*Policy!$B$19,0)</f>
        <v/>
      </c>
      <c r="L102" s="3" t="n">
        <v>2.265</v>
      </c>
      <c r="M102">
        <f>ROUND(MAX(Policy!$B$22,L102*(Policy!$B$20+Policy!$B$21)),0)</f>
        <v/>
      </c>
      <c r="N102">
        <f>IF(E102&lt;=80,Policy!$B$23,IF(E102&lt;=160,Policy!$B$24,Policy!$B$25))</f>
        <v/>
      </c>
      <c r="O102">
        <f>ROUND(N102/(Policy!$B$27*MAX(1,H102)),0)</f>
        <v/>
      </c>
      <c r="P102">
        <f>J102+K102+M102+O102</f>
        <v/>
      </c>
      <c r="Q102">
        <f>Policy!$B$28</f>
        <v/>
      </c>
      <c r="R102">
        <f>CEILING(P102*(1+Q102/100),IF(P102*(1+Q102/100)&lt;10000,50,100))</f>
        <v/>
      </c>
      <c r="S102">
        <f>IF(R102&gt;0,CEILING(R102*(1-Policy!$B$13/100),IF(R102&lt;10000,50,100)),"")</f>
        <v/>
      </c>
      <c r="T102">
        <f>IF(R102&gt;0,ROUNDUP(R102/Policy!$B$14*(1+Policy!$B$15/100),0),"")</f>
        <v/>
      </c>
      <c r="U102" t="inlineStr">
        <is>
          <t>cost</t>
        </is>
      </c>
      <c r="V102" t="inlineStr">
        <is>
          <t>rubber 1.03 kg + moulding + hardware 2.265 kg + mould 45000/50</t>
        </is>
      </c>
    </row>
    <row r="103">
      <c r="A103" t="inlineStr">
        <is>
          <t>AT-WHG-1200</t>
        </is>
      </c>
      <c r="B103" t="inlineStr">
        <is>
          <t>AT-WHG-1200</t>
        </is>
      </c>
      <c r="C103" t="inlineStr">
        <is>
          <t>Rubber WH/WHG isolator</t>
        </is>
      </c>
      <c r="D103" t="n">
        <v>1223.2</v>
      </c>
      <c r="E103" t="n">
        <v>204</v>
      </c>
      <c r="F103" t="n">
        <v>130</v>
      </c>
      <c r="G103" t="n">
        <v>340</v>
      </c>
      <c r="H103" s="3" t="n">
        <v>1</v>
      </c>
      <c r="I103" s="3" t="n">
        <v>2.688</v>
      </c>
      <c r="J103">
        <f>ROUND(I103*Policy!$B$16,0)</f>
        <v/>
      </c>
      <c r="K103">
        <f>ROUND(Policy!$B$18+I103*Policy!$B$19,0)</f>
        <v/>
      </c>
      <c r="L103" s="3" t="n">
        <v>3.267</v>
      </c>
      <c r="M103">
        <f>ROUND(MAX(Policy!$B$22,L103*(Policy!$B$20+Policy!$B$21)),0)</f>
        <v/>
      </c>
      <c r="N103">
        <f>IF(E103&lt;=80,Policy!$B$23,IF(E103&lt;=160,Policy!$B$24,Policy!$B$25))</f>
        <v/>
      </c>
      <c r="O103">
        <f>ROUND(N103/(Policy!$B$27*MAX(1,H103)),0)</f>
        <v/>
      </c>
      <c r="P103">
        <f>J103+K103+M103+O103</f>
        <v/>
      </c>
      <c r="Q103">
        <f>Policy!$B$28</f>
        <v/>
      </c>
      <c r="R103">
        <f>CEILING(P103*(1+Q103/100),IF(P103*(1+Q103/100)&lt;10000,50,100))</f>
        <v/>
      </c>
      <c r="S103">
        <f>IF(R103&gt;0,CEILING(R103*(1-Policy!$B$13/100),IF(R103&lt;10000,50,100)),"")</f>
        <v/>
      </c>
      <c r="T103">
        <f>IF(R103&gt;0,ROUNDUP(R103/Policy!$B$14*(1+Policy!$B$15/100),0),"")</f>
        <v/>
      </c>
      <c r="U103" t="inlineStr">
        <is>
          <t>cost</t>
        </is>
      </c>
      <c r="V103" t="inlineStr">
        <is>
          <t>rubber 2.688 kg + moulding + hardware 3.267 kg + mould 80000/50</t>
        </is>
      </c>
    </row>
    <row r="104">
      <c r="A104" t="inlineStr">
        <is>
          <t>AT-WHG-1750</t>
        </is>
      </c>
      <c r="B104" t="inlineStr">
        <is>
          <t>AT-WHG-1750</t>
        </is>
      </c>
      <c r="C104" t="inlineStr">
        <is>
          <t>Rubber WH/WHG isolator</t>
        </is>
      </c>
      <c r="D104" t="n">
        <v>1783.9</v>
      </c>
      <c r="E104" t="n">
        <v>204</v>
      </c>
      <c r="F104" t="n">
        <v>130</v>
      </c>
      <c r="G104" t="n">
        <v>460</v>
      </c>
      <c r="H104" s="3" t="n">
        <v>1</v>
      </c>
      <c r="I104" s="3" t="n">
        <v>2.688</v>
      </c>
      <c r="J104">
        <f>ROUND(I104*Policy!$B$16,0)</f>
        <v/>
      </c>
      <c r="K104">
        <f>ROUND(Policy!$B$18+I104*Policy!$B$19,0)</f>
        <v/>
      </c>
      <c r="L104" s="3" t="n">
        <v>4.42</v>
      </c>
      <c r="M104">
        <f>ROUND(MAX(Policy!$B$22,L104*(Policy!$B$20+Policy!$B$21)),0)</f>
        <v/>
      </c>
      <c r="N104">
        <f>IF(E104&lt;=80,Policy!$B$23,IF(E104&lt;=160,Policy!$B$24,Policy!$B$25))</f>
        <v/>
      </c>
      <c r="O104">
        <f>ROUND(N104/(Policy!$B$27*MAX(1,H104)),0)</f>
        <v/>
      </c>
      <c r="P104">
        <f>J104+K104+M104+O104</f>
        <v/>
      </c>
      <c r="Q104">
        <f>Policy!$B$28</f>
        <v/>
      </c>
      <c r="R104">
        <f>CEILING(P104*(1+Q104/100),IF(P104*(1+Q104/100)&lt;10000,50,100))</f>
        <v/>
      </c>
      <c r="S104">
        <f>IF(R104&gt;0,CEILING(R104*(1-Policy!$B$13/100),IF(R104&lt;10000,50,100)),"")</f>
        <v/>
      </c>
      <c r="T104">
        <f>IF(R104&gt;0,ROUNDUP(R104/Policy!$B$14*(1+Policy!$B$15/100),0),"")</f>
        <v/>
      </c>
      <c r="U104" t="inlineStr">
        <is>
          <t>cost</t>
        </is>
      </c>
      <c r="V104" t="inlineStr">
        <is>
          <t>rubber 2.688 kg + moulding + hardware 4.42 kg + mould 80000/50</t>
        </is>
      </c>
    </row>
  </sheetData>
  <autoFilter ref="A1:V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2026-09-24T00:55:17Z</dcterms:created>
  <dcterms:modified xmlns:dcterms="http://purl.org/dc/terms/" xmlns:xsi="http://www.w3.org/2001/XMLSchema-instance" xsi:type="dcterms:W3CDTF">2026-09-25T11:06:16Z</dcterms:modified>
</cp:coreProperties>
</file>